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御見積書" sheetId="1" state="visible" r:id="rId1"/>
    <sheet name="内訳明細書" sheetId="2" state="visible" r:id="rId2"/>
    <sheet name="実行予算内訳書" sheetId="3" state="visible" r:id="rId3"/>
    <sheet name="請求明細書" sheetId="4" state="visible" r:id="rId4"/>
  </sheets>
  <definedNames/>
  <calcPr calcId="124519" fullCalcOnLoad="1"/>
</workbook>
</file>

<file path=xl/styles.xml><?xml version="1.0" encoding="utf-8"?>
<styleSheet xmlns="http://schemas.openxmlformats.org/spreadsheetml/2006/main">
  <numFmts count="3">
    <numFmt numFmtId="164" formatCode="#,##0.0"/>
    <numFmt numFmtId="165" formatCode="¥#,##0"/>
    <numFmt numFmtId="166" formatCode="0.0%"/>
  </numFmts>
  <fonts count="8">
    <font>
      <name val="Calibri"/>
      <family val="2"/>
      <color theme="1"/>
      <sz val="11"/>
      <scheme val="minor"/>
    </font>
    <font>
      <name val="MS Pゴシック"/>
      <b val="1"/>
      <sz val="20"/>
    </font>
    <font>
      <name val="MS Pゴシック"/>
      <sz val="10"/>
    </font>
    <font>
      <name val="MS Pゴシック"/>
      <b val="1"/>
      <sz val="11"/>
    </font>
    <font>
      <name val="MS Pゴシック"/>
      <b val="1"/>
      <sz val="14"/>
    </font>
    <font>
      <name val="MS Pゴシック"/>
      <b val="1"/>
      <sz val="12"/>
    </font>
    <font>
      <name val="MS Pゴシック"/>
      <sz val="9"/>
    </font>
    <font>
      <name val="MS Pゴシック"/>
      <b val="1"/>
      <color rgb="000000FF"/>
      <sz val="10"/>
    </font>
  </fonts>
  <fills count="3">
    <fill>
      <patternFill/>
    </fill>
    <fill>
      <patternFill patternType="gray125"/>
    </fill>
    <fill>
      <patternFill patternType="solid">
        <fgColor rgb="00D9D9D9"/>
        <bgColor rgb="00D9D9D9"/>
      </patternFill>
    </fill>
  </fills>
  <borders count="2">
    <border>
      <left/>
      <right/>
      <top/>
      <bottom/>
      <diagonal/>
    </border>
    <border>
      <left style="thin"/>
      <right style="thin"/>
      <top style="thin"/>
      <bottom style="thin"/>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right" vertical="center"/>
    </xf>
    <xf numFmtId="0" fontId="4" fillId="0" borderId="0" pivotButton="0" quotePrefix="0" xfId="0"/>
    <xf numFmtId="0" fontId="4" fillId="0" borderId="0" applyAlignment="1" pivotButton="0" quotePrefix="0" xfId="0">
      <alignment horizontal="right" vertical="center"/>
    </xf>
    <xf numFmtId="0" fontId="3" fillId="2" borderId="1" applyAlignment="1" pivotButton="0" quotePrefix="0" xfId="0">
      <alignment horizontal="center" vertical="center"/>
    </xf>
    <xf numFmtId="0" fontId="2" fillId="0" borderId="1" pivotButton="0" quotePrefix="0" xfId="0"/>
    <xf numFmtId="164" fontId="2" fillId="0" borderId="1" pivotButton="0" quotePrefix="0" xfId="0"/>
    <xf numFmtId="3" fontId="2" fillId="0" borderId="1" pivotButton="0" quotePrefix="0" xfId="0"/>
    <xf numFmtId="3" fontId="3" fillId="0" borderId="1" pivotButton="0" quotePrefix="0" xfId="0"/>
    <xf numFmtId="0" fontId="5" fillId="0" borderId="0" pivotButton="0" quotePrefix="0" xfId="0"/>
    <xf numFmtId="0" fontId="6" fillId="0" borderId="0" pivotButton="0" quotePrefix="0" xfId="0"/>
    <xf numFmtId="3" fontId="3" fillId="0" borderId="0" pivotButton="0" quotePrefix="0" xfId="0"/>
    <xf numFmtId="165" fontId="0" fillId="0" borderId="0" pivotButton="0" quotePrefix="0" xfId="0"/>
    <xf numFmtId="165" fontId="3" fillId="0" borderId="0" pivotButton="0" quotePrefix="0" xfId="0"/>
    <xf numFmtId="165" fontId="7" fillId="0" borderId="0" pivotButton="0" quotePrefix="0" xfId="0"/>
    <xf numFmtId="166" fontId="7" fillId="0" borderId="0" pivotButton="0" quotePrefix="0" xfId="0"/>
    <xf numFmtId="0" fontId="3" fillId="0" borderId="1" pivotButton="0" quotePrefix="0" xfId="0"/>
    <xf numFmtId="0" fontId="0" fillId="0" borderId="1" pivotButton="0" quotePrefix="0" xfId="0"/>
    <xf numFmtId="3"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32"/>
  <sheetViews>
    <sheetView workbookViewId="0">
      <selection activeCell="A1" sqref="A1"/>
    </sheetView>
  </sheetViews>
  <sheetFormatPr baseColWidth="8" defaultRowHeight="15"/>
  <cols>
    <col width="5" customWidth="1" min="2" max="2"/>
    <col width="20" customWidth="1" min="3" max="3"/>
    <col width="25" customWidth="1" min="4" max="4"/>
    <col width="8" customWidth="1" min="6" max="6"/>
    <col width="6" customWidth="1" min="7" max="7"/>
    <col width="12" customWidth="1" min="8" max="8"/>
    <col width="12" customWidth="1" min="9" max="9"/>
    <col width="15" customWidth="1" min="10" max="10"/>
  </cols>
  <sheetData>
    <row r="2">
      <c r="B2" s="1" t="inlineStr">
        <is>
          <t>御　見　積　書</t>
        </is>
      </c>
      <c r="H2" s="2" t="inlineStr">
        <is>
          <t>No. SYT-20260110-001</t>
        </is>
      </c>
    </row>
    <row r="3">
      <c r="H3" s="2" t="inlineStr">
        <is>
          <t>2026年01月10日</t>
        </is>
      </c>
    </row>
    <row r="4">
      <c r="B4" s="3" t="inlineStr">
        <is>
          <t>西九州ニチレキ工事株式会社 長崎営業所　御中</t>
        </is>
      </c>
    </row>
    <row r="6">
      <c r="B6" t="inlineStr">
        <is>
          <t>毎度、格別の御引立を賜り有難うございます。</t>
        </is>
      </c>
    </row>
    <row r="7">
      <c r="B7" t="inlineStr">
        <is>
          <t>御依頼を戴きました本件に付き、誠心誠意検討を加え御見積りいたしましたので</t>
        </is>
      </c>
    </row>
    <row r="8">
      <c r="B8" t="inlineStr">
        <is>
          <t>是非御下命戴けます様、お願い申し上げます。</t>
        </is>
      </c>
    </row>
    <row r="10">
      <c r="B10" s="3" t="inlineStr">
        <is>
          <t>【工   事   名】</t>
        </is>
      </c>
      <c r="F10" t="inlineStr">
        <is>
          <t>小値賀地区水産生産基盤整備工事（沖防波堤（Ａ）（改良）２工区）外</t>
        </is>
      </c>
    </row>
    <row r="11">
      <c r="B11" s="3" t="inlineStr">
        <is>
          <t>【工 事 場 所】</t>
        </is>
      </c>
      <c r="F11" t="inlineStr"/>
    </row>
    <row r="12">
      <c r="B12" s="3" t="inlineStr">
        <is>
          <t>【工　　期】</t>
        </is>
      </c>
      <c r="F12" t="inlineStr"/>
    </row>
    <row r="13">
      <c r="B13" s="3" t="inlineStr">
        <is>
          <t>【有 効 期 限】</t>
        </is>
      </c>
      <c r="F13" t="inlineStr">
        <is>
          <t>3ヵ月</t>
        </is>
      </c>
    </row>
    <row r="14">
      <c r="B14" s="3" t="inlineStr">
        <is>
          <t>【支払い条件】</t>
        </is>
      </c>
      <c r="F14" t="inlineStr">
        <is>
          <t>出来高現金払 　現金100％</t>
        </is>
      </c>
    </row>
    <row r="15">
      <c r="B15" s="3" t="inlineStr">
        <is>
          <t>【産業廃棄物】</t>
        </is>
      </c>
      <c r="F15" t="inlineStr">
        <is>
          <t>産業廃棄物に関して当社に関りがあれば着工前に産廃契約を宜しくお願いします</t>
        </is>
      </c>
    </row>
    <row r="16">
      <c r="B16" s="3" t="inlineStr">
        <is>
          <t>【特記事項】</t>
        </is>
      </c>
      <c r="F16" t="inlineStr">
        <is>
          <t>別紙、工事見積確認書及び見積条件書による</t>
        </is>
      </c>
    </row>
    <row r="17">
      <c r="B17" s="3" t="inlineStr">
        <is>
          <t>【担 当 者】</t>
        </is>
      </c>
      <c r="F17" t="inlineStr">
        <is>
          <t>上原　拓</t>
        </is>
      </c>
    </row>
    <row r="19">
      <c r="B19" s="3" t="inlineStr">
        <is>
          <t>小　計　金　額</t>
        </is>
      </c>
      <c r="F19" s="4" t="inlineStr">
        <is>
          <t>¥0</t>
        </is>
      </c>
    </row>
    <row r="20">
      <c r="B20" s="3" t="inlineStr">
        <is>
          <t>消 費 税(10%)</t>
        </is>
      </c>
      <c r="F20" s="4" t="inlineStr">
        <is>
          <t>¥0</t>
        </is>
      </c>
    </row>
    <row r="21">
      <c r="B21" s="5" t="inlineStr">
        <is>
          <t>合　計　金　額</t>
        </is>
      </c>
      <c r="F21" s="6" t="inlineStr">
        <is>
          <t>¥0</t>
        </is>
      </c>
    </row>
    <row r="23">
      <c r="B23" s="7" t="inlineStr">
        <is>
          <t>No.</t>
        </is>
      </c>
      <c r="C23" s="7" t="inlineStr">
        <is>
          <t>名　称</t>
        </is>
      </c>
      <c r="D23" s="7" t="inlineStr">
        <is>
          <t>仕様・規格・寸法</t>
        </is>
      </c>
      <c r="F23" s="7" t="inlineStr">
        <is>
          <t>数量</t>
        </is>
      </c>
      <c r="G23" s="7" t="inlineStr">
        <is>
          <t>単位</t>
        </is>
      </c>
      <c r="H23" s="7" t="inlineStr">
        <is>
          <t>単　価</t>
        </is>
      </c>
      <c r="I23" s="7" t="inlineStr">
        <is>
          <t>金　額</t>
        </is>
      </c>
      <c r="J23" s="7" t="inlineStr">
        <is>
          <t>備　考</t>
        </is>
      </c>
    </row>
    <row r="24">
      <c r="B24" s="8" t="n">
        <v>1</v>
      </c>
      <c r="C24" s="8" t="inlineStr">
        <is>
          <t>研掃工</t>
        </is>
      </c>
      <c r="D24" s="8" t="inlineStr"/>
      <c r="F24" s="9" t="n">
        <v>0</v>
      </c>
      <c r="G24" s="8" t="inlineStr">
        <is>
          <t>式</t>
        </is>
      </c>
      <c r="H24" s="10" t="n">
        <v>0</v>
      </c>
      <c r="I24" s="10">
        <f>F24*H24</f>
        <v/>
      </c>
      <c r="J24" s="8" t="inlineStr"/>
    </row>
    <row r="25">
      <c r="B25" s="8" t="n">
        <v>2</v>
      </c>
      <c r="C25" s="8" t="inlineStr">
        <is>
          <t>合　計　（税抜）</t>
        </is>
      </c>
      <c r="D25" s="8" t="inlineStr"/>
      <c r="F25" s="9" t="n">
        <v>0</v>
      </c>
      <c r="G25" s="8" t="inlineStr">
        <is>
          <t>式</t>
        </is>
      </c>
      <c r="H25" s="10" t="n">
        <v>0</v>
      </c>
      <c r="I25" s="10">
        <f>F25*H25</f>
        <v/>
      </c>
      <c r="J25" s="8" t="inlineStr"/>
    </row>
    <row r="26">
      <c r="C26" s="3" t="inlineStr">
        <is>
          <t>合　計　（税抜）</t>
        </is>
      </c>
      <c r="I26" s="11">
        <f>SUM(I24:I25)</f>
        <v/>
      </c>
    </row>
    <row r="29">
      <c r="H29" s="12" t="inlineStr">
        <is>
          <t>株式会社 サンユウテック</t>
        </is>
      </c>
    </row>
    <row r="30">
      <c r="H30" s="13" t="inlineStr">
        <is>
          <t>〒816-0912</t>
        </is>
      </c>
    </row>
    <row r="31">
      <c r="H31" s="13" t="inlineStr">
        <is>
          <t>福岡県大野城市御笠川6丁目2-5</t>
        </is>
      </c>
    </row>
    <row r="32">
      <c r="H32" s="13" t="inlineStr">
        <is>
          <t>TEL:092-555-9211  FAX:092-555-9217</t>
        </is>
      </c>
    </row>
  </sheetData>
  <mergeCells count="1">
    <mergeCell ref="B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0" customWidth="1" min="1" max="1"/>
    <col width="30" customWidth="1" min="2" max="2"/>
    <col width="10" customWidth="1" min="3" max="3"/>
    <col width="8" customWidth="1" min="4" max="4"/>
    <col width="12" customWidth="1" min="5" max="5"/>
    <col width="12" customWidth="1" min="6" max="6"/>
    <col width="25" customWidth="1" min="7" max="7"/>
  </cols>
  <sheetData>
    <row r="1">
      <c r="A1" s="1" t="inlineStr">
        <is>
          <t>内　訳　明　細　書</t>
        </is>
      </c>
    </row>
    <row r="2">
      <c r="A2" s="7" t="inlineStr">
        <is>
          <t>名          　　称</t>
        </is>
      </c>
      <c r="B2" s="7" t="inlineStr">
        <is>
          <t>規 　　    格</t>
        </is>
      </c>
      <c r="C2" s="7" t="inlineStr">
        <is>
          <t>数　量</t>
        </is>
      </c>
      <c r="D2" s="7" t="inlineStr">
        <is>
          <t>単　位</t>
        </is>
      </c>
      <c r="E2" s="7" t="inlineStr">
        <is>
          <t>単  価</t>
        </is>
      </c>
      <c r="F2" s="7" t="inlineStr">
        <is>
          <t>金   額</t>
        </is>
      </c>
      <c r="G2" s="7" t="inlineStr">
        <is>
          <t>備   考</t>
        </is>
      </c>
    </row>
    <row r="3">
      <c r="A3" s="3" t="inlineStr">
        <is>
          <t>景観舗装工事</t>
        </is>
      </c>
    </row>
    <row r="4">
      <c r="A4" s="8" t="inlineStr">
        <is>
          <t>研掃工　１種ケレン</t>
        </is>
      </c>
      <c r="B4" s="8" t="inlineStr">
        <is>
          <t>巾1.0　端部研磨機使用</t>
        </is>
      </c>
      <c r="C4" s="9" t="n">
        <v>55</v>
      </c>
      <c r="D4" s="8" t="inlineStr">
        <is>
          <t>㎡</t>
        </is>
      </c>
      <c r="E4" s="10" t="n">
        <v>5500</v>
      </c>
      <c r="F4" s="10">
        <f>C4*E4</f>
        <v/>
      </c>
      <c r="G4" s="8" t="inlineStr">
        <is>
          <t>昼間施工　１日</t>
        </is>
      </c>
    </row>
    <row r="5">
      <c r="A5" s="8" t="inlineStr">
        <is>
          <t>直  接  工  事  費</t>
        </is>
      </c>
      <c r="B5" s="8" t="inlineStr"/>
      <c r="C5" s="9" t="n">
        <v>1</v>
      </c>
      <c r="D5" s="8" t="inlineStr">
        <is>
          <t>式</t>
        </is>
      </c>
      <c r="E5" s="10" t="n">
        <v>302500</v>
      </c>
      <c r="F5" s="10">
        <f>C5*E5</f>
        <v/>
      </c>
      <c r="G5" s="8" t="inlineStr"/>
    </row>
    <row r="6">
      <c r="A6" s="8" t="inlineStr">
        <is>
          <t>機  械  回  送  費</t>
        </is>
      </c>
      <c r="B6" s="8" t="inlineStr">
        <is>
          <t>福岡～長崎　ユニック車　乗用車</t>
        </is>
      </c>
      <c r="C6" s="9" t="n">
        <v>1</v>
      </c>
      <c r="D6" s="8" t="inlineStr">
        <is>
          <t>往復</t>
        </is>
      </c>
      <c r="E6" s="10" t="n">
        <v>75000</v>
      </c>
      <c r="F6" s="10">
        <f>C6*E6</f>
        <v/>
      </c>
      <c r="G6" s="8" t="inlineStr"/>
    </row>
    <row r="7">
      <c r="A7" s="8" t="inlineStr">
        <is>
          <t>諸　　経　　費</t>
        </is>
      </c>
      <c r="B7" s="8" t="inlineStr">
        <is>
          <t>宿泊費含む</t>
        </is>
      </c>
      <c r="C7" s="9" t="n">
        <v>1</v>
      </c>
      <c r="D7" s="8" t="inlineStr">
        <is>
          <t>式</t>
        </is>
      </c>
      <c r="E7" s="10" t="n">
        <v>30250</v>
      </c>
      <c r="F7" s="10">
        <f>C7*E7</f>
        <v/>
      </c>
      <c r="G7" s="8" t="inlineStr">
        <is>
          <t>社会保険料率　　　　　　　　＝15.938％</t>
        </is>
      </c>
    </row>
    <row r="8">
      <c r="A8" s="8" t="inlineStr">
        <is>
          <t>端 数 調 整</t>
        </is>
      </c>
      <c r="B8" s="8" t="inlineStr"/>
      <c r="C8" s="9" t="n">
        <v>1</v>
      </c>
      <c r="D8" s="8" t="inlineStr">
        <is>
          <t>式</t>
        </is>
      </c>
      <c r="E8" s="10" t="n">
        <v>-2875</v>
      </c>
      <c r="F8" s="10">
        <f>C8*E8</f>
        <v/>
      </c>
      <c r="G8" s="8" t="inlineStr"/>
    </row>
    <row r="9">
      <c r="A9" s="8" t="inlineStr">
        <is>
          <t>法  定  福  利  費</t>
        </is>
      </c>
      <c r="B9" s="8" t="inlineStr"/>
      <c r="C9" s="9" t="n">
        <v>1</v>
      </c>
      <c r="D9" s="8" t="inlineStr">
        <is>
          <t>式</t>
        </is>
      </c>
      <c r="E9" s="10" t="n">
        <v>15125</v>
      </c>
      <c r="F9" s="10">
        <f>C9*E9</f>
        <v/>
      </c>
      <c r="G9" s="8" t="inlineStr"/>
    </row>
    <row r="10">
      <c r="A10" s="8" t="inlineStr">
        <is>
          <t>研掃工　B工区</t>
        </is>
      </c>
      <c r="B10" s="8" t="inlineStr"/>
      <c r="C10" s="9" t="n">
        <v>259</v>
      </c>
      <c r="D10" s="8" t="inlineStr">
        <is>
          <t>㎡</t>
        </is>
      </c>
      <c r="E10" s="10" t="n">
        <v>630</v>
      </c>
      <c r="F10" s="10">
        <f>C10*E10</f>
        <v/>
      </c>
      <c r="G10" s="8" t="inlineStr"/>
    </row>
    <row r="11">
      <c r="A11" s="8" t="inlineStr">
        <is>
          <t>研掃工　C工区</t>
        </is>
      </c>
      <c r="B11" s="8" t="inlineStr"/>
      <c r="C11" s="9" t="n">
        <v>213</v>
      </c>
      <c r="D11" s="8" t="inlineStr">
        <is>
          <t>㎡</t>
        </is>
      </c>
      <c r="E11" s="10" t="n">
        <v>630</v>
      </c>
      <c r="F11" s="10">
        <f>C11*E11</f>
        <v/>
      </c>
      <c r="G11" s="8" t="inlineStr"/>
    </row>
    <row r="12">
      <c r="A12" s="8" t="inlineStr">
        <is>
          <t>研掃工　D工区</t>
        </is>
      </c>
      <c r="B12" s="8" t="inlineStr"/>
      <c r="C12" s="9" t="n">
        <v>91</v>
      </c>
      <c r="D12" s="8" t="inlineStr">
        <is>
          <t>㎡</t>
        </is>
      </c>
      <c r="E12" s="10" t="n">
        <v>630</v>
      </c>
      <c r="F12" s="10">
        <f>C12*E12</f>
        <v/>
      </c>
      <c r="G12" s="8" t="inlineStr"/>
    </row>
    <row r="13">
      <c r="A13" s="8" t="inlineStr">
        <is>
          <t>研掃工　E工区</t>
        </is>
      </c>
      <c r="B13" s="8" t="inlineStr"/>
      <c r="C13" s="9" t="n">
        <v>992</v>
      </c>
      <c r="D13" s="8" t="inlineStr">
        <is>
          <t>㎡</t>
        </is>
      </c>
      <c r="E13" s="10" t="n">
        <v>630</v>
      </c>
      <c r="F13" s="10">
        <f>C13*E13</f>
        <v/>
      </c>
      <c r="G13" s="8" t="inlineStr"/>
    </row>
    <row r="14">
      <c r="A14" s="8" t="inlineStr">
        <is>
          <t>研掃工A～E工区　総計</t>
        </is>
      </c>
      <c r="B14" s="8" t="inlineStr">
        <is>
          <t>巾0.55　端部研磨機使用</t>
        </is>
      </c>
      <c r="C14" s="9" t="n">
        <v>1555</v>
      </c>
      <c r="D14" s="8" t="inlineStr">
        <is>
          <t>㎡</t>
        </is>
      </c>
      <c r="E14" s="10" t="n">
        <v>630</v>
      </c>
      <c r="F14" s="10">
        <f>C14*E14</f>
        <v/>
      </c>
      <c r="G14" s="8" t="inlineStr"/>
    </row>
    <row r="15">
      <c r="A15" s="8" t="inlineStr">
        <is>
          <t>直  接  工  事  費</t>
        </is>
      </c>
      <c r="B15" s="8" t="inlineStr"/>
      <c r="C15" s="9" t="n">
        <v>1</v>
      </c>
      <c r="D15" s="8" t="inlineStr">
        <is>
          <t>式</t>
        </is>
      </c>
      <c r="E15" s="10" t="n">
        <v>979650</v>
      </c>
      <c r="F15" s="10">
        <f>C15*E15</f>
        <v/>
      </c>
      <c r="G15" s="8" t="inlineStr"/>
    </row>
    <row r="16">
      <c r="A16" s="8" t="inlineStr">
        <is>
          <t>機  械  回  送  費</t>
        </is>
      </c>
      <c r="B16" s="8" t="inlineStr">
        <is>
          <t>福岡～愛媛　ユニック車　乗用車</t>
        </is>
      </c>
      <c r="C16" s="9" t="n">
        <v>2</v>
      </c>
      <c r="D16" s="8" t="inlineStr">
        <is>
          <t>往復</t>
        </is>
      </c>
      <c r="E16" s="10" t="n">
        <v>100000</v>
      </c>
      <c r="F16" s="10">
        <f>C16*E16</f>
        <v/>
      </c>
      <c r="G16" s="8" t="inlineStr"/>
    </row>
    <row r="17">
      <c r="A17" s="8" t="inlineStr">
        <is>
          <t>諸　　経　　費</t>
        </is>
      </c>
      <c r="B17" s="8" t="inlineStr">
        <is>
          <t>宿泊費含む</t>
        </is>
      </c>
      <c r="C17" s="9" t="n">
        <v>1</v>
      </c>
      <c r="D17" s="8" t="inlineStr">
        <is>
          <t>式</t>
        </is>
      </c>
      <c r="E17" s="10" t="n">
        <v>160000</v>
      </c>
      <c r="F17" s="10">
        <f>C17*E17</f>
        <v/>
      </c>
      <c r="G17" s="8" t="inlineStr"/>
    </row>
    <row r="18">
      <c r="A18" s="8" t="inlineStr">
        <is>
          <t>法  定  福  利  費</t>
        </is>
      </c>
      <c r="B18" s="8" t="inlineStr"/>
      <c r="C18" s="9" t="n">
        <v>1</v>
      </c>
      <c r="D18" s="8" t="inlineStr">
        <is>
          <t>式</t>
        </is>
      </c>
      <c r="E18" s="10" t="n">
        <v>88040</v>
      </c>
      <c r="F18" s="10">
        <f>C18*E18</f>
        <v/>
      </c>
      <c r="G18" s="8" t="inlineStr"/>
    </row>
    <row r="19">
      <c r="A19" t="inlineStr">
        <is>
          <t>小計</t>
        </is>
      </c>
      <c r="F19" s="14">
        <f>SUM(F4:F18)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20" customWidth="1" min="1" max="1"/>
    <col width="30" customWidth="1" min="2" max="2"/>
    <col width="8" customWidth="1" min="3" max="3"/>
    <col width="6" customWidth="1" min="4" max="4"/>
    <col width="12" customWidth="1" min="5" max="5"/>
    <col width="12" customWidth="1" min="6" max="6"/>
    <col width="20" customWidth="1" min="7" max="7"/>
  </cols>
  <sheetData>
    <row r="1">
      <c r="A1" s="1" t="inlineStr">
        <is>
          <t>実行予算内訳書</t>
        </is>
      </c>
    </row>
    <row r="3">
      <c r="A3" t="inlineStr">
        <is>
          <t>工事番号</t>
        </is>
      </c>
      <c r="B3" t="inlineStr">
        <is>
          <t>SYT-20260110-001</t>
        </is>
      </c>
      <c r="D3" t="inlineStr">
        <is>
          <t>予算番号</t>
        </is>
      </c>
      <c r="E3" t="inlineStr">
        <is>
          <t>BDG-20260110-001</t>
        </is>
      </c>
    </row>
    <row r="4">
      <c r="A4" t="inlineStr">
        <is>
          <t>工事名</t>
        </is>
      </c>
      <c r="B4" t="inlineStr">
        <is>
          <t>小値賀地区水産生産基盤整備工事（沖防波堤（Ａ）（改良）２工区）外</t>
        </is>
      </c>
    </row>
    <row r="5">
      <c r="A5" t="inlineStr">
        <is>
          <t>発注者</t>
        </is>
      </c>
      <c r="B5" t="inlineStr">
        <is>
          <t>西九州ニチレキ工事株式会社 長崎営業所</t>
        </is>
      </c>
    </row>
    <row r="6">
      <c r="A6" t="inlineStr">
        <is>
          <t>契約日</t>
        </is>
      </c>
      <c r="B6" t="inlineStr">
        <is>
          <t>2026年01月10日</t>
        </is>
      </c>
      <c r="D6" t="inlineStr">
        <is>
          <t>完工予定日</t>
        </is>
      </c>
      <c r="E6" t="inlineStr"/>
    </row>
    <row r="8">
      <c r="A8" t="inlineStr">
        <is>
          <t>初期契約金額</t>
        </is>
      </c>
      <c r="B8" s="15" t="n">
        <v>0</v>
      </c>
    </row>
    <row r="9">
      <c r="A9" t="inlineStr">
        <is>
          <t>増減金額</t>
        </is>
      </c>
      <c r="B9" s="15" t="n">
        <v>0</v>
      </c>
    </row>
    <row r="10">
      <c r="A10" t="inlineStr">
        <is>
          <t>契約金額計</t>
        </is>
      </c>
      <c r="B10" s="16">
        <f>B8+B9</f>
        <v/>
      </c>
    </row>
    <row r="11">
      <c r="A11" t="inlineStr">
        <is>
          <t>今回予算計</t>
        </is>
      </c>
      <c r="B11" s="15" t="n">
        <v>0</v>
      </c>
    </row>
    <row r="12">
      <c r="A12" t="inlineStr">
        <is>
          <t>予定粗利</t>
        </is>
      </c>
      <c r="B12" s="17">
        <f>B8-B11</f>
        <v/>
      </c>
    </row>
    <row r="13">
      <c r="A13" t="inlineStr">
        <is>
          <t>予定粗利率</t>
        </is>
      </c>
      <c r="B13" s="18">
        <f>B12/B8</f>
        <v/>
      </c>
    </row>
    <row r="15">
      <c r="A15" s="7" t="inlineStr">
        <is>
          <t>名　称</t>
        </is>
      </c>
      <c r="B15" s="7" t="inlineStr">
        <is>
          <t>仕　様</t>
        </is>
      </c>
      <c r="C15" s="7" t="inlineStr">
        <is>
          <t>数 量</t>
        </is>
      </c>
      <c r="D15" s="7" t="inlineStr">
        <is>
          <t>単位</t>
        </is>
      </c>
      <c r="E15" s="7" t="inlineStr">
        <is>
          <t>単　価</t>
        </is>
      </c>
      <c r="F15" s="7" t="inlineStr">
        <is>
          <t>金　額</t>
        </is>
      </c>
      <c r="G15" s="7" t="inlineStr">
        <is>
          <t>業者名</t>
        </is>
      </c>
    </row>
    <row r="16">
      <c r="A16" s="19" t="inlineStr">
        <is>
          <t>労務費</t>
        </is>
      </c>
      <c r="B16" s="20" t="n"/>
      <c r="C16" s="20" t="n">
        <v>1</v>
      </c>
      <c r="D16" s="20" t="inlineStr">
        <is>
          <t>式</t>
        </is>
      </c>
      <c r="E16" s="20" t="n"/>
      <c r="F16" s="21" t="n">
        <v>0</v>
      </c>
      <c r="G16" s="20" t="n"/>
    </row>
    <row r="17">
      <c r="A17" s="19" t="inlineStr">
        <is>
          <t>材料費</t>
        </is>
      </c>
      <c r="B17" s="20" t="n"/>
      <c r="C17" s="20" t="n">
        <v>1</v>
      </c>
      <c r="D17" s="20" t="inlineStr">
        <is>
          <t>式</t>
        </is>
      </c>
      <c r="E17" s="20" t="n"/>
      <c r="F17" s="21" t="n">
        <v>0</v>
      </c>
      <c r="G17" s="20" t="n"/>
    </row>
    <row r="18">
      <c r="A18" s="19" t="inlineStr">
        <is>
          <t>外注費</t>
        </is>
      </c>
      <c r="B18" s="20" t="n"/>
      <c r="C18" s="20" t="n">
        <v>1</v>
      </c>
      <c r="D18" s="20" t="inlineStr">
        <is>
          <t>式</t>
        </is>
      </c>
      <c r="E18" s="20" t="n"/>
      <c r="F18" s="21" t="n">
        <v>0</v>
      </c>
      <c r="G18" s="20" t="n"/>
    </row>
    <row r="19">
      <c r="A19" s="19" t="inlineStr">
        <is>
          <t>経費</t>
        </is>
      </c>
      <c r="B19" s="20" t="n"/>
      <c r="C19" s="20" t="n">
        <v>1</v>
      </c>
      <c r="D19" s="20" t="inlineStr">
        <is>
          <t>式</t>
        </is>
      </c>
      <c r="E19" s="20" t="n"/>
      <c r="F19" s="21" t="n">
        <v>0</v>
      </c>
      <c r="G19" s="20" t="n"/>
    </row>
    <row r="20">
      <c r="A20" s="3" t="inlineStr">
        <is>
          <t>【　合　計　】</t>
        </is>
      </c>
      <c r="F20" s="11">
        <f>SUM(F16:F19)</f>
        <v/>
      </c>
    </row>
  </sheetData>
  <mergeCells count="2">
    <mergeCell ref="B4:F4"/>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20" customWidth="1" min="1" max="1"/>
    <col width="30" customWidth="1" min="2" max="2"/>
    <col width="10" customWidth="1" min="3" max="3"/>
    <col width="8" customWidth="1" min="4" max="4"/>
    <col width="12" customWidth="1" min="5" max="5"/>
    <col width="12" customWidth="1" min="6" max="6"/>
  </cols>
  <sheetData>
    <row r="1">
      <c r="A1" s="1" t="inlineStr">
        <is>
          <t>御　請　求　書</t>
        </is>
      </c>
      <c r="G1" s="2" t="inlineStr">
        <is>
          <t>No. INV-20260110-001</t>
        </is>
      </c>
    </row>
    <row r="2">
      <c r="G2" s="2" t="inlineStr">
        <is>
          <t>取引年月日 2026年01月10日</t>
        </is>
      </c>
    </row>
    <row r="3">
      <c r="A3" s="3" t="inlineStr">
        <is>
          <t>西九州ニチレキ工事株式会社 長崎営業所　御中</t>
        </is>
      </c>
    </row>
    <row r="5">
      <c r="A5" t="inlineStr">
        <is>
          <t>毎度有難うございます。</t>
        </is>
      </c>
    </row>
    <row r="6">
      <c r="A6" t="inlineStr">
        <is>
          <t>下記の通り、御請求申し上げます。</t>
        </is>
      </c>
    </row>
    <row r="8">
      <c r="A8" s="3" t="inlineStr">
        <is>
          <t>工 事 名</t>
        </is>
      </c>
      <c r="B8" t="inlineStr">
        <is>
          <t>小値賀地区水産生産基盤整備工事（沖防波堤（Ａ）（改良）２工区）外</t>
        </is>
      </c>
    </row>
    <row r="9">
      <c r="A9" s="3" t="inlineStr">
        <is>
          <t>工事場所</t>
        </is>
      </c>
      <c r="B9" t="inlineStr"/>
    </row>
    <row r="10">
      <c r="A10" s="3" t="inlineStr">
        <is>
          <t>支払期限</t>
        </is>
      </c>
      <c r="B10" t="inlineStr"/>
    </row>
    <row r="12">
      <c r="A12" s="5" t="inlineStr">
        <is>
          <t>御請求金額</t>
        </is>
      </c>
      <c r="D12" s="6" t="inlineStr">
        <is>
          <t>¥0</t>
        </is>
      </c>
    </row>
    <row r="14">
      <c r="A14" s="7" t="inlineStr">
        <is>
          <t>名　　称</t>
        </is>
      </c>
      <c r="B14" s="7" t="inlineStr">
        <is>
          <t>仕　　様</t>
        </is>
      </c>
      <c r="C14" s="7" t="inlineStr">
        <is>
          <t>数 量</t>
        </is>
      </c>
      <c r="D14" s="7" t="inlineStr">
        <is>
          <t>単 位</t>
        </is>
      </c>
      <c r="E14" s="7" t="inlineStr">
        <is>
          <t>単　価</t>
        </is>
      </c>
      <c r="F14" s="7" t="inlineStr">
        <is>
          <t>金　額</t>
        </is>
      </c>
    </row>
    <row r="15">
      <c r="A15" s="8" t="inlineStr">
        <is>
          <t>研掃工</t>
        </is>
      </c>
      <c r="B15" s="8" t="inlineStr"/>
      <c r="C15" s="9" t="n">
        <v>0</v>
      </c>
      <c r="D15" s="8" t="inlineStr">
        <is>
          <t>式</t>
        </is>
      </c>
      <c r="E15" s="10" t="n">
        <v>0</v>
      </c>
      <c r="F15" s="10">
        <f>C15*E15</f>
        <v/>
      </c>
    </row>
    <row r="16">
      <c r="A16" s="8" t="inlineStr">
        <is>
          <t>合　計　（税抜）</t>
        </is>
      </c>
      <c r="B16" s="8" t="inlineStr"/>
      <c r="C16" s="9" t="n">
        <v>0</v>
      </c>
      <c r="D16" s="8" t="inlineStr">
        <is>
          <t>式</t>
        </is>
      </c>
      <c r="E16" s="10" t="n">
        <v>0</v>
      </c>
      <c r="F16" s="10">
        <f>C16*E16</f>
        <v/>
      </c>
    </row>
    <row r="17">
      <c r="A17" s="3" t="inlineStr">
        <is>
          <t>【　合　計　】</t>
        </is>
      </c>
      <c r="F17" s="21">
        <f>SUM(F15:F16)</f>
        <v/>
      </c>
    </row>
    <row r="18">
      <c r="A18" s="3" t="inlineStr">
        <is>
          <t>【消費税 10%】</t>
        </is>
      </c>
      <c r="F18" s="21">
        <f>F17*0.1</f>
        <v/>
      </c>
    </row>
    <row r="19">
      <c r="A19" s="3" t="inlineStr">
        <is>
          <t>【　総合計　】</t>
        </is>
      </c>
      <c r="F19" s="11">
        <f>F17+F18</f>
        <v/>
      </c>
    </row>
    <row r="22">
      <c r="A22" s="3" t="inlineStr">
        <is>
          <t>振込先</t>
        </is>
      </c>
    </row>
    <row r="23">
      <c r="A23" t="inlineStr">
        <is>
          <t>福岡銀行 大野城支店</t>
        </is>
      </c>
    </row>
    <row r="24">
      <c r="A24" t="inlineStr">
        <is>
          <t>普通 1234567</t>
        </is>
      </c>
    </row>
    <row r="25">
      <c r="A25" t="inlineStr">
        <is>
          <t>名義：株式会社サンユウテック</t>
        </is>
      </c>
    </row>
    <row r="27">
      <c r="A27" s="3" t="inlineStr">
        <is>
          <t>備考</t>
        </is>
      </c>
    </row>
    <row r="29">
      <c r="E29" s="12" t="inlineStr">
        <is>
          <t>株式会社 サンユウテック</t>
        </is>
      </c>
    </row>
    <row r="30">
      <c r="E30" s="13" t="inlineStr">
        <is>
          <t>〒816-0912</t>
        </is>
      </c>
    </row>
    <row r="31">
      <c r="E31" s="13" t="inlineStr">
        <is>
          <t>福岡県大野城市御笠川6丁目2-5</t>
        </is>
      </c>
    </row>
    <row r="32">
      <c r="E32" s="13" t="inlineStr">
        <is>
          <t>TEL:092-555-9211  FAX:092-555-9217</t>
        </is>
      </c>
    </row>
    <row r="33">
      <c r="E33" s="13" t="inlineStr">
        <is>
          <t>登録番号: T1234567890123</t>
        </is>
      </c>
    </row>
  </sheetData>
  <mergeCells count="4">
    <mergeCell ref="A1:E1"/>
    <mergeCell ref="B9:F9"/>
    <mergeCell ref="A3:D3"/>
    <mergeCell ref="B8:F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2026-01-10T11:24:30Z</dcterms:created>
  <dcterms:modified xsi:type="dcterms:W3CDTF">2026-01-10T11:24:30Z</dcterms:modified>
</cp:coreProperties>
</file>