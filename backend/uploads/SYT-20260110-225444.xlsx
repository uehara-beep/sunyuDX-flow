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d.docs.live.net/5e3123101fc46d65/サンユウ専用/見積書/世紀東急工業/"/>
    </mc:Choice>
  </mc:AlternateContent>
  <xr:revisionPtr revIDLastSave="2127" documentId="13_ncr:1_{05AE0A0E-5C40-46AF-A1FF-9A4E43ED7E07}" xr6:coauthVersionLast="47" xr6:coauthVersionMax="47" xr10:uidLastSave="{C27A6773-BFAB-435D-A3B6-D627049BAF36}"/>
  <bookViews>
    <workbookView xWindow="-110" yWindow="-10910" windowWidth="19420" windowHeight="10300" firstSheet="6" xr2:uid="{3733316F-ED77-4C79-824A-F6075FF503D1}"/>
  </bookViews>
  <sheets>
    <sheet name="表紙" sheetId="1" r:id="rId1"/>
    <sheet name="床版防水工" sheetId="8" r:id="rId2"/>
    <sheet name="防水　条件書" sheetId="17" r:id="rId3"/>
    <sheet name="床版補修　WJ" sheetId="28" r:id="rId4"/>
    <sheet name="床版補修　条件書" sheetId="36" r:id="rId5"/>
    <sheet name="床版補修　リペア" sheetId="35" r:id="rId6"/>
    <sheet name="WJ床版補修　条件書 " sheetId="32" r:id="rId7"/>
    <sheet name="コンクリートハツリ工" sheetId="37" r:id="rId8"/>
    <sheet name="ハンドガン　条件書 " sheetId="38" r:id="rId9"/>
    <sheet name="舗装関連　表紙" sheetId="39" r:id="rId10"/>
    <sheet name="舗装関連　内訳書" sheetId="40" r:id="rId11"/>
  </sheets>
  <externalReferences>
    <externalReference r:id="rId12"/>
    <externalReference r:id="rId13"/>
    <externalReference r:id="rId14"/>
  </externalReferences>
  <definedNames>
    <definedName name="a">[1]工事総括!#REF!</definedName>
    <definedName name="HTML_CodePage" hidden="1">932</definedName>
    <definedName name="HTML_Control" localSheetId="6" hidden="1">{"'Ｈ棟'!$A$1:$X$84"}</definedName>
    <definedName name="HTML_Control" localSheetId="8" hidden="1">{"'Ｈ棟'!$A$1:$X$84"}</definedName>
    <definedName name="HTML_Control" localSheetId="4" hidden="1">{"'Ｈ棟'!$A$1:$X$84"}</definedName>
    <definedName name="HTML_Control" localSheetId="2" hidden="1">{"'Ｈ棟'!$A$1:$X$84"}</definedName>
    <definedName name="HTML_Control" hidden="1">{"'Ｈ棟'!$A$1:$X$84"}</definedName>
    <definedName name="HTML_Description" hidden="1">""</definedName>
    <definedName name="HTML_Email" hidden="1">""</definedName>
    <definedName name="HTML_Header" hidden="1">"Ｈ棟"</definedName>
    <definedName name="HTML_LastUpdate" hidden="1">"99/12/26"</definedName>
    <definedName name="HTML_LineAfter" hidden="1">FALSE</definedName>
    <definedName name="HTML_LineBefore" hidden="1">FALSE</definedName>
    <definedName name="HTML_Name" hidden="1">"VAIO"</definedName>
    <definedName name="HTML_OBDlg2" hidden="1">TRUE</definedName>
    <definedName name="HTML_OBDlg4" hidden="1">TRUE</definedName>
    <definedName name="HTML_OS" hidden="1">0</definedName>
    <definedName name="HTML_PathFile" hidden="1">"C:\My Documents\MyHTML.htm"</definedName>
    <definedName name="HTML_Title" hidden="1">"東戸塚高層棟Ｈ，Ｉ、J,K,L,M,N (1)"</definedName>
    <definedName name="JVSB1会社名" localSheetId="6">[1]工事総括!#REF!</definedName>
    <definedName name="JVSB1会社名" localSheetId="8">[1]工事総括!#REF!</definedName>
    <definedName name="JVSB1会社名" localSheetId="4">[1]工事総括!#REF!</definedName>
    <definedName name="JVSB1会社名" localSheetId="0">[1]工事総括!#REF!</definedName>
    <definedName name="JVSB1会社名" localSheetId="9">[1]工事総括!#REF!</definedName>
    <definedName name="JVSB1会社名" localSheetId="2">[1]工事総括!#REF!</definedName>
    <definedName name="JVSB1会社名">[1]工事総括!#REF!</definedName>
    <definedName name="JVSB1比率" localSheetId="6">[1]工事総括!#REF!</definedName>
    <definedName name="JVSB1比率" localSheetId="8">[1]工事総括!#REF!</definedName>
    <definedName name="JVSB1比率" localSheetId="4">[1]工事総括!#REF!</definedName>
    <definedName name="JVSB1比率" localSheetId="0">[1]工事総括!#REF!</definedName>
    <definedName name="JVSB1比率" localSheetId="9">[1]工事総括!#REF!</definedName>
    <definedName name="JVSB1比率" localSheetId="2">[1]工事総括!#REF!</definedName>
    <definedName name="JVSB1比率">[1]工事総括!#REF!</definedName>
    <definedName name="JVSB2会社名" localSheetId="6">[1]工事総括!#REF!</definedName>
    <definedName name="JVSB2会社名" localSheetId="8">[1]工事総括!#REF!</definedName>
    <definedName name="JVSB2会社名" localSheetId="4">[1]工事総括!#REF!</definedName>
    <definedName name="JVSB2会社名" localSheetId="0">[1]工事総括!#REF!</definedName>
    <definedName name="JVSB2会社名" localSheetId="9">[1]工事総括!#REF!</definedName>
    <definedName name="JVSB2会社名" localSheetId="2">[1]工事総括!#REF!</definedName>
    <definedName name="JVSB2会社名">[1]工事総括!#REF!</definedName>
    <definedName name="JVSB2比率" localSheetId="6">[1]工事総括!#REF!</definedName>
    <definedName name="JVSB2比率" localSheetId="8">[1]工事総括!#REF!</definedName>
    <definedName name="JVSB2比率" localSheetId="4">[1]工事総括!#REF!</definedName>
    <definedName name="JVSB2比率" localSheetId="0">[1]工事総括!#REF!</definedName>
    <definedName name="JVSB2比率" localSheetId="9">[1]工事総括!#REF!</definedName>
    <definedName name="JVSB2比率" localSheetId="2">[1]工事総括!#REF!</definedName>
    <definedName name="JVSB2比率">[1]工事総括!#REF!</definedName>
    <definedName name="JVSB3会社名" localSheetId="6">[1]工事総括!#REF!</definedName>
    <definedName name="JVSB3会社名" localSheetId="8">[1]工事総括!#REF!</definedName>
    <definedName name="JVSB3会社名" localSheetId="4">[1]工事総括!#REF!</definedName>
    <definedName name="JVSB3会社名" localSheetId="0">[1]工事総括!#REF!</definedName>
    <definedName name="JVSB3会社名" localSheetId="9">[1]工事総括!#REF!</definedName>
    <definedName name="JVSB3会社名" localSheetId="2">[1]工事総括!#REF!</definedName>
    <definedName name="JVSB3会社名">[1]工事総括!#REF!</definedName>
    <definedName name="JVSB3比率" localSheetId="6">[1]工事総括!#REF!</definedName>
    <definedName name="JVSB3比率" localSheetId="8">[1]工事総括!#REF!</definedName>
    <definedName name="JVSB3比率" localSheetId="4">[1]工事総括!#REF!</definedName>
    <definedName name="JVSB3比率" localSheetId="0">[1]工事総括!#REF!</definedName>
    <definedName name="JVSB3比率" localSheetId="9">[1]工事総括!#REF!</definedName>
    <definedName name="JVSB3比率" localSheetId="2">[1]工事総括!#REF!</definedName>
    <definedName name="JVSB3比率">[1]工事総括!#REF!</definedName>
    <definedName name="JVSB4会社名" localSheetId="6">[1]工事総括!#REF!</definedName>
    <definedName name="JVSB4会社名" localSheetId="8">[1]工事総括!#REF!</definedName>
    <definedName name="JVSB4会社名" localSheetId="4">[1]工事総括!#REF!</definedName>
    <definedName name="JVSB4会社名" localSheetId="0">[1]工事総括!#REF!</definedName>
    <definedName name="JVSB4会社名" localSheetId="9">[1]工事総括!#REF!</definedName>
    <definedName name="JVSB4会社名" localSheetId="2">[1]工事総括!#REF!</definedName>
    <definedName name="JVSB4会社名">[1]工事総括!#REF!</definedName>
    <definedName name="JVSB4比率" localSheetId="6">[1]工事総括!#REF!</definedName>
    <definedName name="JVSB4比率" localSheetId="8">[1]工事総括!#REF!</definedName>
    <definedName name="JVSB4比率" localSheetId="4">[1]工事総括!#REF!</definedName>
    <definedName name="JVSB4比率" localSheetId="0">[1]工事総括!#REF!</definedName>
    <definedName name="JVSB4比率" localSheetId="9">[1]工事総括!#REF!</definedName>
    <definedName name="JVSB4比率" localSheetId="2">[1]工事総括!#REF!</definedName>
    <definedName name="JVSB4比率">[1]工事総括!#REF!</definedName>
    <definedName name="JVSB5会社名" localSheetId="6">[1]工事総括!#REF!</definedName>
    <definedName name="JVSB5会社名" localSheetId="8">[1]工事総括!#REF!</definedName>
    <definedName name="JVSB5会社名" localSheetId="4">[1]工事総括!#REF!</definedName>
    <definedName name="JVSB5会社名" localSheetId="0">[1]工事総括!#REF!</definedName>
    <definedName name="JVSB5会社名" localSheetId="9">[1]工事総括!#REF!</definedName>
    <definedName name="JVSB5会社名" localSheetId="2">[1]工事総括!#REF!</definedName>
    <definedName name="JVSB5会社名">[1]工事総括!#REF!</definedName>
    <definedName name="JVSB5比率" localSheetId="6">[1]工事総括!#REF!</definedName>
    <definedName name="JVSB5比率" localSheetId="8">[1]工事総括!#REF!</definedName>
    <definedName name="JVSB5比率" localSheetId="4">[1]工事総括!#REF!</definedName>
    <definedName name="JVSB5比率" localSheetId="0">[1]工事総括!#REF!</definedName>
    <definedName name="JVSB5比率" localSheetId="9">[1]工事総括!#REF!</definedName>
    <definedName name="JVSB5比率" localSheetId="2">[1]工事総括!#REF!</definedName>
    <definedName name="JVSB5比率">[1]工事総括!#REF!</definedName>
    <definedName name="JVSP会社名" localSheetId="6">[1]工事総括!#REF!</definedName>
    <definedName name="JVSP会社名" localSheetId="8">[1]工事総括!#REF!</definedName>
    <definedName name="JVSP会社名" localSheetId="4">[1]工事総括!#REF!</definedName>
    <definedName name="JVSP会社名" localSheetId="0">[1]工事総括!#REF!</definedName>
    <definedName name="JVSP会社名" localSheetId="9">[1]工事総括!#REF!</definedName>
    <definedName name="JVSP会社名" localSheetId="2">[1]工事総括!#REF!</definedName>
    <definedName name="JVSP会社名">[1]工事総括!#REF!</definedName>
    <definedName name="JVSP比率" localSheetId="6">[1]工事総括!#REF!</definedName>
    <definedName name="JVSP比率" localSheetId="8">[1]工事総括!#REF!</definedName>
    <definedName name="JVSP比率" localSheetId="4">[1]工事総括!#REF!</definedName>
    <definedName name="JVSP比率" localSheetId="0">[1]工事総括!#REF!</definedName>
    <definedName name="JVSP比率" localSheetId="9">[1]工事総括!#REF!</definedName>
    <definedName name="JVSP比率" localSheetId="2">[1]工事総括!#REF!</definedName>
    <definedName name="JVSP比率">[1]工事総括!#REF!</definedName>
    <definedName name="_xlnm.Print_Area" localSheetId="6">'WJ床版補修　条件書 '!$A$1:$G$23</definedName>
    <definedName name="_xlnm.Print_Area" localSheetId="7">コンクリートハツリ工!$A$1:$G$24</definedName>
    <definedName name="_xlnm.Print_Area" localSheetId="8">'ハンドガン　条件書 '!$A$1:$G$23</definedName>
    <definedName name="_xlnm.Print_Area" localSheetId="3">'床版補修　WJ'!$A$1:$G$23</definedName>
    <definedName name="_xlnm.Print_Area" localSheetId="5">'床版補修　リペア'!$A$1:$G$24</definedName>
    <definedName name="_xlnm.Print_Area" localSheetId="4">'床版補修　条件書'!$A$1:$G$23</definedName>
    <definedName name="_xlnm.Print_Area" localSheetId="1">床版防水工!$A$1:$G$23</definedName>
    <definedName name="_xlnm.Print_Area" localSheetId="0">表紙!$A$1:$AY$39</definedName>
    <definedName name="_xlnm.Print_Area" localSheetId="10">'舗装関連　内訳書'!$A$1:$G$197</definedName>
    <definedName name="_xlnm.Print_Area" localSheetId="9">'舗装関連　表紙'!$A$1:$AY$39</definedName>
    <definedName name="_xlnm.Print_Area" localSheetId="2">'防水　条件書'!$A$1:$G$23</definedName>
    <definedName name="っっっｄ" localSheetId="6">#REF!</definedName>
    <definedName name="っっっｄ" localSheetId="8">#REF!</definedName>
    <definedName name="っっっｄ" localSheetId="4">#REF!</definedName>
    <definedName name="っっっｄ" localSheetId="0">#REF!</definedName>
    <definedName name="っっっｄ" localSheetId="9">#REF!</definedName>
    <definedName name="っっっｄ" localSheetId="2">#REF!</definedName>
    <definedName name="っっっｄ">#REF!</definedName>
    <definedName name="営業担当" localSheetId="6">#REF!</definedName>
    <definedName name="営業担当" localSheetId="8">#REF!</definedName>
    <definedName name="営業担当" localSheetId="4">#REF!</definedName>
    <definedName name="営業担当" localSheetId="0">#REF!</definedName>
    <definedName name="営業担当" localSheetId="9">#REF!</definedName>
    <definedName name="営業担当" localSheetId="2">#REF!</definedName>
    <definedName name="営業担当">#REF!</definedName>
    <definedName name="科目">[2]科目!$A$3:$A$16</definedName>
    <definedName name="階層02合計行">#REF!</definedName>
    <definedName name="階層02親行">#REF!</definedName>
    <definedName name="階層03合計行">#REF!</definedName>
    <definedName name="階層03親行">#REF!</definedName>
    <definedName name="階層04合計行">#REF!</definedName>
    <definedName name="階層04親行">#REF!</definedName>
    <definedName name="階層05合計行">#REF!</definedName>
    <definedName name="階層05親行">#REF!</definedName>
    <definedName name="階層06合計行">#REF!</definedName>
    <definedName name="階層06親行">#REF!</definedName>
    <definedName name="階層07合計行">#REF!</definedName>
    <definedName name="階層07親行">#REF!</definedName>
    <definedName name="階層08合計行">#REF!</definedName>
    <definedName name="階層08親行">#REF!</definedName>
    <definedName name="階層09合計行">#REF!</definedName>
    <definedName name="階層09親行">#REF!</definedName>
    <definedName name="階層10合計行">#REF!</definedName>
    <definedName name="階層10親行">#REF!</definedName>
    <definedName name="階層11合計行">#REF!</definedName>
    <definedName name="階層11親行">#REF!</definedName>
    <definedName name="現在持分工事価格" localSheetId="6">[1]工事総括!#REF!</definedName>
    <definedName name="現在持分工事価格" localSheetId="8">[1]工事総括!#REF!</definedName>
    <definedName name="現在持分工事価格" localSheetId="4">[1]工事総括!#REF!</definedName>
    <definedName name="現在持分工事価格" localSheetId="2">[1]工事総括!#REF!</definedName>
    <definedName name="現在持分工事価格">[1]工事総括!#REF!</definedName>
    <definedName name="現在全体工事価格" localSheetId="6">[1]工事総括!#REF!</definedName>
    <definedName name="現在全体工事価格" localSheetId="8">[1]工事総括!#REF!</definedName>
    <definedName name="現在全体工事価格" localSheetId="4">[1]工事総括!#REF!</definedName>
    <definedName name="現在全体工事価格" localSheetId="2">[1]工事総括!#REF!</definedName>
    <definedName name="現在全体工事価格">[1]工事総括!#REF!</definedName>
    <definedName name="工事名" localSheetId="6">#REF!</definedName>
    <definedName name="工事名" localSheetId="8">#REF!</definedName>
    <definedName name="工事名" localSheetId="4">#REF!</definedName>
    <definedName name="工事名" localSheetId="0">#REF!</definedName>
    <definedName name="工事名" localSheetId="9">#REF!</definedName>
    <definedName name="工事名" localSheetId="2">#REF!</definedName>
    <definedName name="工事名">#REF!</definedName>
    <definedName name="工事名1" localSheetId="6">#REF!</definedName>
    <definedName name="工事名1" localSheetId="8">#REF!</definedName>
    <definedName name="工事名1" localSheetId="4">#REF!</definedName>
    <definedName name="工事名1" localSheetId="0">#REF!</definedName>
    <definedName name="工事名1" localSheetId="9">#REF!</definedName>
    <definedName name="工事名1" localSheetId="2">#REF!</definedName>
    <definedName name="工事名1">#REF!</definedName>
    <definedName name="作業所名" localSheetId="6">#REF!</definedName>
    <definedName name="作業所名" localSheetId="8">#REF!</definedName>
    <definedName name="作業所名" localSheetId="4">#REF!</definedName>
    <definedName name="作業所名" localSheetId="0">#REF!</definedName>
    <definedName name="作業所名" localSheetId="9">#REF!</definedName>
    <definedName name="作業所名" localSheetId="2">#REF!</definedName>
    <definedName name="作業所名">#REF!</definedName>
    <definedName name="支店" localSheetId="6">#REF!</definedName>
    <definedName name="支店" localSheetId="8">#REF!</definedName>
    <definedName name="支店" localSheetId="4">#REF!</definedName>
    <definedName name="支店" localSheetId="0">#REF!</definedName>
    <definedName name="支店" localSheetId="9">#REF!</definedName>
    <definedName name="支店" localSheetId="2">#REF!</definedName>
    <definedName name="支店">#REF!</definedName>
    <definedName name="支店名" localSheetId="6">#REF!</definedName>
    <definedName name="支店名" localSheetId="8">#REF!</definedName>
    <definedName name="支店名" localSheetId="4">#REF!</definedName>
    <definedName name="支店名" localSheetId="0">#REF!</definedName>
    <definedName name="支店名" localSheetId="9">#REF!</definedName>
    <definedName name="支店名" localSheetId="2">#REF!</definedName>
    <definedName name="支店名">#REF!</definedName>
    <definedName name="施工状態" localSheetId="6">[1]工事総括!#REF!</definedName>
    <definedName name="施工状態" localSheetId="8">[1]工事総括!#REF!</definedName>
    <definedName name="施工状態" localSheetId="4">[1]工事総括!#REF!</definedName>
    <definedName name="施工状態" localSheetId="2">[1]工事総括!#REF!</definedName>
    <definedName name="施工状態">[1]工事総括!#REF!</definedName>
    <definedName name="受注形態" localSheetId="6">[1]工事総括!#REF!</definedName>
    <definedName name="受注形態" localSheetId="8">[1]工事総括!#REF!</definedName>
    <definedName name="受注形態" localSheetId="4">[1]工事総括!#REF!</definedName>
    <definedName name="受注形態" localSheetId="2">[1]工事総括!#REF!</definedName>
    <definedName name="受注形態">[1]工事総括!#REF!</definedName>
    <definedName name="渡辺">[1]工事総括!#REF!</definedName>
    <definedName name="当初持分工事価格" localSheetId="6">[1]工事総括!#REF!</definedName>
    <definedName name="当初持分工事価格" localSheetId="8">[1]工事総括!#REF!</definedName>
    <definedName name="当初持分工事価格" localSheetId="4">[1]工事総括!#REF!</definedName>
    <definedName name="当初持分工事価格" localSheetId="2">[1]工事総括!#REF!</definedName>
    <definedName name="当初持分工事価格">[1]工事総括!#REF!</definedName>
    <definedName name="当初全体工事価格" localSheetId="6">[1]工事総括!#REF!</definedName>
    <definedName name="当初全体工事価格" localSheetId="8">[1]工事総括!#REF!</definedName>
    <definedName name="当初全体工事価格" localSheetId="4">[1]工事総括!#REF!</definedName>
    <definedName name="当初全体工事価格" localSheetId="2">[1]工事総括!#REF!</definedName>
    <definedName name="当初全体工事価格">[1]工事総括!#REF!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37" l="1"/>
  <c r="F4" i="37"/>
  <c r="F7" i="28"/>
  <c r="I10" i="8"/>
  <c r="E19" i="37" l="1"/>
  <c r="AL39" i="39" l="1"/>
  <c r="E164" i="40"/>
  <c r="E163" i="40"/>
  <c r="E145" i="40"/>
  <c r="E144" i="40"/>
  <c r="E124" i="40"/>
  <c r="E123" i="40"/>
  <c r="E104" i="40"/>
  <c r="E103" i="40"/>
  <c r="E194" i="40" l="1"/>
  <c r="E137" i="40"/>
  <c r="E96" i="40"/>
  <c r="E76" i="40"/>
  <c r="E63" i="40"/>
  <c r="E62" i="40"/>
  <c r="E55" i="40"/>
  <c r="E43" i="40"/>
  <c r="E42" i="40"/>
  <c r="E35" i="40"/>
  <c r="E24" i="40"/>
  <c r="E23" i="40"/>
  <c r="E196" i="40" l="1"/>
  <c r="F196" i="40" s="1"/>
  <c r="L188" i="40"/>
  <c r="L186" i="40"/>
  <c r="F186" i="40"/>
  <c r="F185" i="40"/>
  <c r="L184" i="40"/>
  <c r="F184" i="40"/>
  <c r="F183" i="40"/>
  <c r="L182" i="40"/>
  <c r="L197" i="40" s="1"/>
  <c r="F182" i="40"/>
  <c r="E177" i="40"/>
  <c r="F177" i="40" s="1"/>
  <c r="L169" i="40"/>
  <c r="L167" i="40"/>
  <c r="L178" i="40" s="1"/>
  <c r="F167" i="40"/>
  <c r="F175" i="40" s="1"/>
  <c r="F166" i="40"/>
  <c r="L165" i="40"/>
  <c r="F165" i="40"/>
  <c r="F164" i="40"/>
  <c r="L163" i="40"/>
  <c r="F163" i="40"/>
  <c r="E175" i="40" s="1"/>
  <c r="L152" i="40"/>
  <c r="L150" i="40"/>
  <c r="F150" i="40"/>
  <c r="F149" i="40"/>
  <c r="L148" i="40"/>
  <c r="F148" i="40"/>
  <c r="F147" i="40"/>
  <c r="L146" i="40"/>
  <c r="F146" i="40"/>
  <c r="F145" i="40"/>
  <c r="E155" i="40" s="1"/>
  <c r="F155" i="40" s="1"/>
  <c r="L144" i="40"/>
  <c r="L159" i="40" s="1"/>
  <c r="F144" i="40"/>
  <c r="L129" i="40"/>
  <c r="F129" i="40"/>
  <c r="F128" i="40"/>
  <c r="L127" i="40"/>
  <c r="F127" i="40"/>
  <c r="F126" i="40"/>
  <c r="L125" i="40"/>
  <c r="F125" i="40"/>
  <c r="F124" i="40"/>
  <c r="F137" i="40" s="1"/>
  <c r="L123" i="40"/>
  <c r="L140" i="40" s="1"/>
  <c r="F123" i="40"/>
  <c r="I137" i="40" s="1"/>
  <c r="L111" i="40"/>
  <c r="L109" i="40"/>
  <c r="F109" i="40"/>
  <c r="F108" i="40"/>
  <c r="L107" i="40"/>
  <c r="F107" i="40"/>
  <c r="F106" i="40"/>
  <c r="L105" i="40"/>
  <c r="F105" i="40"/>
  <c r="F104" i="40"/>
  <c r="E116" i="40" s="1"/>
  <c r="L103" i="40"/>
  <c r="L119" i="40" s="1"/>
  <c r="F103" i="40"/>
  <c r="I96" i="40"/>
  <c r="F96" i="40"/>
  <c r="L91" i="40"/>
  <c r="L88" i="40"/>
  <c r="F88" i="40"/>
  <c r="F87" i="40"/>
  <c r="L86" i="40"/>
  <c r="F86" i="40"/>
  <c r="F85" i="40"/>
  <c r="F84" i="40"/>
  <c r="L83" i="40"/>
  <c r="L99" i="40" s="1"/>
  <c r="F83" i="40"/>
  <c r="E78" i="40"/>
  <c r="F78" i="40" s="1"/>
  <c r="L70" i="40"/>
  <c r="L68" i="40"/>
  <c r="F68" i="40"/>
  <c r="F67" i="40"/>
  <c r="L66" i="40"/>
  <c r="F66" i="40"/>
  <c r="F65" i="40"/>
  <c r="L64" i="40"/>
  <c r="F64" i="40"/>
  <c r="F63" i="40"/>
  <c r="F76" i="40" s="1"/>
  <c r="L62" i="40"/>
  <c r="L79" i="40" s="1"/>
  <c r="F62" i="40"/>
  <c r="I76" i="40" s="1"/>
  <c r="L50" i="40"/>
  <c r="L48" i="40"/>
  <c r="F48" i="40"/>
  <c r="F47" i="40"/>
  <c r="L46" i="40"/>
  <c r="F46" i="40"/>
  <c r="F45" i="40"/>
  <c r="L44" i="40"/>
  <c r="F44" i="40"/>
  <c r="F43" i="40"/>
  <c r="L42" i="40"/>
  <c r="L58" i="40" s="1"/>
  <c r="F42" i="40"/>
  <c r="E37" i="40"/>
  <c r="F37" i="40" s="1"/>
  <c r="F29" i="40"/>
  <c r="F28" i="40"/>
  <c r="F27" i="40"/>
  <c r="F26" i="40"/>
  <c r="F25" i="40"/>
  <c r="F24" i="40"/>
  <c r="F23" i="40"/>
  <c r="L10" i="40"/>
  <c r="F10" i="40"/>
  <c r="F9" i="40"/>
  <c r="L8" i="40"/>
  <c r="F8" i="40"/>
  <c r="F7" i="40"/>
  <c r="L6" i="40"/>
  <c r="F6" i="40"/>
  <c r="F5" i="40"/>
  <c r="E16" i="40" s="1"/>
  <c r="F16" i="40" s="1"/>
  <c r="L4" i="40"/>
  <c r="L19" i="40" s="1"/>
  <c r="L38" i="40" s="1"/>
  <c r="F4" i="40"/>
  <c r="BD39" i="39"/>
  <c r="AZ40" i="39" s="1"/>
  <c r="BA7" i="39"/>
  <c r="E156" i="40" l="1"/>
  <c r="F156" i="40" s="1"/>
  <c r="E139" i="40"/>
  <c r="F116" i="40"/>
  <c r="E193" i="40"/>
  <c r="F193" i="40" s="1"/>
  <c r="E95" i="40"/>
  <c r="F95" i="40" s="1"/>
  <c r="I77" i="40"/>
  <c r="F55" i="40"/>
  <c r="I16" i="40"/>
  <c r="E15" i="40"/>
  <c r="F15" i="40" s="1"/>
  <c r="I138" i="40"/>
  <c r="F35" i="40"/>
  <c r="F38" i="40" s="1"/>
  <c r="AH28" i="39" s="1"/>
  <c r="AL28" i="39" s="1"/>
  <c r="I156" i="40"/>
  <c r="E54" i="40"/>
  <c r="F54" i="40" s="1"/>
  <c r="E115" i="40"/>
  <c r="F115" i="40" s="1"/>
  <c r="E158" i="40"/>
  <c r="I175" i="40"/>
  <c r="I176" i="40" s="1"/>
  <c r="F194" i="40"/>
  <c r="F197" i="40" s="1"/>
  <c r="AH36" i="39" s="1"/>
  <c r="AL36" i="39" s="1"/>
  <c r="I116" i="40"/>
  <c r="E136" i="40"/>
  <c r="F136" i="40" s="1"/>
  <c r="I194" i="40"/>
  <c r="I195" i="40" s="1"/>
  <c r="E57" i="40"/>
  <c r="E75" i="40"/>
  <c r="F75" i="40" s="1"/>
  <c r="F79" i="40" s="1"/>
  <c r="AH30" i="39" s="1"/>
  <c r="AL30" i="39" s="1"/>
  <c r="E118" i="40"/>
  <c r="E34" i="40"/>
  <c r="F34" i="40" s="1"/>
  <c r="F139" i="40"/>
  <c r="E174" i="40"/>
  <c r="F174" i="40" s="1"/>
  <c r="F178" i="40" s="1"/>
  <c r="AH35" i="39" s="1"/>
  <c r="AL35" i="39" s="1"/>
  <c r="E98" i="40"/>
  <c r="E18" i="40"/>
  <c r="I55" i="40"/>
  <c r="F140" i="40" l="1"/>
  <c r="AH33" i="39" s="1"/>
  <c r="AL33" i="39" s="1"/>
  <c r="I97" i="40"/>
  <c r="F98" i="40"/>
  <c r="F99" i="40" s="1"/>
  <c r="AH31" i="39" s="1"/>
  <c r="AL31" i="39" s="1"/>
  <c r="F57" i="40"/>
  <c r="F58" i="40" s="1"/>
  <c r="AH29" i="39" s="1"/>
  <c r="AL29" i="39" s="1"/>
  <c r="I56" i="40"/>
  <c r="F118" i="40"/>
  <c r="F119" i="40" s="1"/>
  <c r="AH32" i="39" s="1"/>
  <c r="AL32" i="39" s="1"/>
  <c r="I117" i="40"/>
  <c r="I17" i="40"/>
  <c r="F18" i="40"/>
  <c r="F19" i="40" s="1"/>
  <c r="AH27" i="39" s="1"/>
  <c r="AL27" i="39" s="1"/>
  <c r="F158" i="40"/>
  <c r="F159" i="40" s="1"/>
  <c r="AH34" i="39" s="1"/>
  <c r="AL34" i="39" s="1"/>
  <c r="I157" i="40"/>
  <c r="U20" i="39" l="1"/>
  <c r="BJ39" i="39"/>
  <c r="BP39" i="39"/>
  <c r="U22" i="39" l="1"/>
  <c r="U21" i="39"/>
  <c r="K22" i="37" l="1"/>
  <c r="L22" i="37" s="1"/>
  <c r="K7" i="37"/>
  <c r="K6" i="37"/>
  <c r="K5" i="37"/>
  <c r="K4" i="37"/>
  <c r="C24" i="35"/>
  <c r="I22" i="37"/>
  <c r="C24" i="37"/>
  <c r="K20" i="37"/>
  <c r="I23" i="37"/>
  <c r="I21" i="37"/>
  <c r="I19" i="37"/>
  <c r="I5" i="37"/>
  <c r="I6" i="37"/>
  <c r="I7" i="37"/>
  <c r="I4" i="37"/>
  <c r="L6" i="37" l="1"/>
  <c r="I24" i="37"/>
  <c r="L5" i="37"/>
  <c r="L7" i="37"/>
  <c r="L4" i="37"/>
  <c r="K18" i="37"/>
  <c r="M4" i="37"/>
  <c r="N4" i="37" s="1"/>
  <c r="K12" i="38"/>
  <c r="K10" i="38"/>
  <c r="K23" i="38" s="1"/>
  <c r="K46" i="38" s="1"/>
  <c r="K8" i="38"/>
  <c r="K6" i="38"/>
  <c r="K4" i="38"/>
  <c r="F50" i="37"/>
  <c r="F49" i="37"/>
  <c r="F48" i="37"/>
  <c r="F47" i="37"/>
  <c r="F44" i="37"/>
  <c r="F43" i="37"/>
  <c r="F42" i="37"/>
  <c r="F41" i="37"/>
  <c r="F40" i="37"/>
  <c r="F39" i="37"/>
  <c r="F37" i="37"/>
  <c r="F36" i="37"/>
  <c r="F35" i="37"/>
  <c r="F32" i="37"/>
  <c r="F31" i="37"/>
  <c r="F30" i="37"/>
  <c r="F29" i="37"/>
  <c r="F28" i="37"/>
  <c r="F51" i="37" s="1"/>
  <c r="E52" i="37" s="1"/>
  <c r="F52" i="37" s="1"/>
  <c r="F22" i="37"/>
  <c r="M7" i="37"/>
  <c r="N7" i="37" s="1"/>
  <c r="M6" i="37"/>
  <c r="N6" i="37" s="1"/>
  <c r="F22" i="35"/>
  <c r="K12" i="36"/>
  <c r="K10" i="36"/>
  <c r="K8" i="36"/>
  <c r="K6" i="36"/>
  <c r="K4" i="36"/>
  <c r="K23" i="36" s="1"/>
  <c r="K46" i="36" s="1"/>
  <c r="F5" i="35"/>
  <c r="F4" i="35"/>
  <c r="F6" i="28"/>
  <c r="E18" i="35" l="1"/>
  <c r="E23" i="35"/>
  <c r="E19" i="35"/>
  <c r="F19" i="35" s="1"/>
  <c r="F24" i="35" s="1"/>
  <c r="E21" i="35"/>
  <c r="K19" i="37"/>
  <c r="L19" i="37" s="1"/>
  <c r="E18" i="37"/>
  <c r="E21" i="37" s="1"/>
  <c r="K21" i="37" s="1"/>
  <c r="L21" i="37" s="1"/>
  <c r="M5" i="37"/>
  <c r="N5" i="37" s="1"/>
  <c r="F50" i="35"/>
  <c r="F49" i="35"/>
  <c r="F48" i="35"/>
  <c r="F47" i="35"/>
  <c r="F44" i="35"/>
  <c r="F43" i="35"/>
  <c r="F42" i="35"/>
  <c r="F41" i="35"/>
  <c r="F40" i="35"/>
  <c r="F39" i="35"/>
  <c r="F37" i="35"/>
  <c r="F36" i="35"/>
  <c r="F35" i="35"/>
  <c r="F32" i="35"/>
  <c r="F31" i="35"/>
  <c r="F30" i="35"/>
  <c r="F29" i="35"/>
  <c r="F28" i="35"/>
  <c r="L22" i="35"/>
  <c r="N22" i="35" s="1"/>
  <c r="L20" i="35"/>
  <c r="N20" i="35" s="1"/>
  <c r="K18" i="35"/>
  <c r="F5" i="28"/>
  <c r="I15" i="8"/>
  <c r="I7" i="8"/>
  <c r="I6" i="8"/>
  <c r="I5" i="8"/>
  <c r="I20" i="8"/>
  <c r="K20" i="8" s="1"/>
  <c r="I21" i="8"/>
  <c r="I8" i="8"/>
  <c r="I9" i="8"/>
  <c r="AL31" i="1" l="1"/>
  <c r="E17" i="28"/>
  <c r="E18" i="28" s="1"/>
  <c r="F18" i="28" s="1"/>
  <c r="I18" i="28" s="1"/>
  <c r="F21" i="37"/>
  <c r="E23" i="37"/>
  <c r="F19" i="37"/>
  <c r="K23" i="35"/>
  <c r="K21" i="35"/>
  <c r="F51" i="35"/>
  <c r="E52" i="35" s="1"/>
  <c r="F52" i="35" s="1"/>
  <c r="K12" i="32"/>
  <c r="K10" i="32"/>
  <c r="K8" i="32"/>
  <c r="K6" i="32"/>
  <c r="K4" i="32"/>
  <c r="K23" i="32" s="1"/>
  <c r="K46" i="32" s="1"/>
  <c r="E24" i="35" l="1"/>
  <c r="E20" i="28"/>
  <c r="E22" i="28"/>
  <c r="F23" i="37"/>
  <c r="K23" i="37"/>
  <c r="L23" i="37" s="1"/>
  <c r="L24" i="37" s="1"/>
  <c r="K24" i="37" s="1"/>
  <c r="M21" i="37"/>
  <c r="M19" i="37"/>
  <c r="L23" i="35"/>
  <c r="N23" i="35" s="1"/>
  <c r="L21" i="35"/>
  <c r="C23" i="8"/>
  <c r="M23" i="37" l="1"/>
  <c r="N21" i="35"/>
  <c r="N24" i="35" s="1"/>
  <c r="L24" i="35"/>
  <c r="K22" i="28"/>
  <c r="L22" i="28" s="1"/>
  <c r="F50" i="28"/>
  <c r="E51" i="28" s="1"/>
  <c r="F51" i="28" s="1"/>
  <c r="F49" i="28"/>
  <c r="F48" i="28"/>
  <c r="F47" i="28"/>
  <c r="F46" i="28"/>
  <c r="F43" i="28"/>
  <c r="F42" i="28"/>
  <c r="F41" i="28"/>
  <c r="F40" i="28"/>
  <c r="F39" i="28"/>
  <c r="F38" i="28"/>
  <c r="F36" i="28"/>
  <c r="F35" i="28"/>
  <c r="F34" i="28"/>
  <c r="F31" i="28"/>
  <c r="F30" i="28"/>
  <c r="F29" i="28"/>
  <c r="F28" i="28"/>
  <c r="F27" i="28"/>
  <c r="K21" i="28"/>
  <c r="L21" i="28" s="1"/>
  <c r="F21" i="28"/>
  <c r="K19" i="28"/>
  <c r="L19" i="28" s="1"/>
  <c r="K17" i="28"/>
  <c r="K10" i="28"/>
  <c r="I10" i="28"/>
  <c r="K9" i="28"/>
  <c r="I9" i="28"/>
  <c r="K8" i="28"/>
  <c r="I8" i="28"/>
  <c r="K7" i="28"/>
  <c r="I7" i="28"/>
  <c r="K6" i="28"/>
  <c r="I6" i="28"/>
  <c r="M5" i="28"/>
  <c r="K5" i="28"/>
  <c r="I5" i="28"/>
  <c r="L4" i="28"/>
  <c r="E24" i="37" l="1"/>
  <c r="AL33" i="1"/>
  <c r="M24" i="37"/>
  <c r="N24" i="37" s="1"/>
  <c r="L25" i="35"/>
  <c r="M25" i="35" s="1"/>
  <c r="N25" i="35"/>
  <c r="O25" i="35" s="1"/>
  <c r="L8" i="28"/>
  <c r="L9" i="28"/>
  <c r="K20" i="28"/>
  <c r="L20" i="28" s="1"/>
  <c r="L10" i="28"/>
  <c r="L6" i="28"/>
  <c r="L7" i="28"/>
  <c r="L5" i="28"/>
  <c r="P25" i="35" l="1"/>
  <c r="F20" i="28"/>
  <c r="L23" i="28"/>
  <c r="F23" i="28" l="1"/>
  <c r="M23" i="28" s="1"/>
  <c r="N23" i="28" s="1"/>
  <c r="AL29" i="1" l="1"/>
  <c r="I14" i="8"/>
  <c r="I11" i="8"/>
  <c r="F10" i="8"/>
  <c r="J10" i="8" s="1"/>
  <c r="K12" i="17" l="1"/>
  <c r="K10" i="17"/>
  <c r="K8" i="17"/>
  <c r="K23" i="17" s="1"/>
  <c r="K46" i="17" s="1"/>
  <c r="K6" i="17"/>
  <c r="K4" i="17"/>
  <c r="F4" i="8" l="1"/>
  <c r="I4" i="8" s="1"/>
  <c r="F49" i="8"/>
  <c r="F48" i="8"/>
  <c r="F47" i="8"/>
  <c r="F46" i="8"/>
  <c r="F43" i="8"/>
  <c r="F42" i="8"/>
  <c r="F41" i="8"/>
  <c r="F40" i="8"/>
  <c r="F39" i="8"/>
  <c r="F38" i="8"/>
  <c r="F36" i="8"/>
  <c r="F35" i="8"/>
  <c r="F34" i="8"/>
  <c r="F31" i="8"/>
  <c r="F30" i="8"/>
  <c r="F29" i="8"/>
  <c r="F28" i="8"/>
  <c r="F27" i="8"/>
  <c r="F21" i="8"/>
  <c r="L9" i="8"/>
  <c r="L7" i="8"/>
  <c r="L5" i="8"/>
  <c r="E17" i="8" l="1"/>
  <c r="E19" i="8" s="1"/>
  <c r="L30" i="8"/>
  <c r="F50" i="8"/>
  <c r="E50" i="8" s="1"/>
  <c r="F19" i="8" l="1"/>
  <c r="E20" i="8"/>
  <c r="F20" i="8" s="1"/>
  <c r="E22" i="8"/>
  <c r="F23" i="8" l="1"/>
  <c r="M23" i="8" s="1"/>
  <c r="N23" i="8" s="1"/>
  <c r="BD39" i="1"/>
  <c r="AZ40" i="1" s="1"/>
  <c r="I23" i="8" l="1"/>
  <c r="AL27" i="1"/>
  <c r="AL39" i="1" s="1"/>
  <c r="U20" i="1" s="1"/>
  <c r="U22" i="1" s="1"/>
  <c r="E23" i="8"/>
  <c r="U21" i="1" l="1"/>
  <c r="BJ39" i="1"/>
  <c r="BP39" i="1"/>
</calcChain>
</file>

<file path=xl/sharedStrings.xml><?xml version="1.0" encoding="utf-8"?>
<sst xmlns="http://schemas.openxmlformats.org/spreadsheetml/2006/main" count="1135" uniqueCount="278">
  <si>
    <t>御中</t>
    <rPh sb="0" eb="2">
      <t>オンチュウ</t>
    </rPh>
    <phoneticPr fontId="3"/>
  </si>
  <si>
    <t>【工   事   名】</t>
    <rPh sb="1" eb="2">
      <t>コウ</t>
    </rPh>
    <rPh sb="5" eb="6">
      <t>コト</t>
    </rPh>
    <rPh sb="9" eb="10">
      <t>ナ</t>
    </rPh>
    <phoneticPr fontId="3"/>
  </si>
  <si>
    <t>【工 事 場 所】</t>
    <rPh sb="1" eb="2">
      <t>コウ</t>
    </rPh>
    <rPh sb="3" eb="4">
      <t>コト</t>
    </rPh>
    <rPh sb="5" eb="6">
      <t>バ</t>
    </rPh>
    <rPh sb="7" eb="8">
      <t>ショ</t>
    </rPh>
    <phoneticPr fontId="3"/>
  </si>
  <si>
    <t>【工　　期】</t>
    <rPh sb="1" eb="2">
      <t>コウ</t>
    </rPh>
    <rPh sb="4" eb="5">
      <t>キ</t>
    </rPh>
    <phoneticPr fontId="3"/>
  </si>
  <si>
    <t>自</t>
    <rPh sb="0" eb="1">
      <t>ジ</t>
    </rPh>
    <phoneticPr fontId="3"/>
  </si>
  <si>
    <t>至</t>
    <rPh sb="0" eb="1">
      <t>イタ</t>
    </rPh>
    <phoneticPr fontId="3"/>
  </si>
  <si>
    <t>【有 効 期 限】</t>
    <rPh sb="1" eb="2">
      <t>ユウ</t>
    </rPh>
    <rPh sb="3" eb="4">
      <t>コウ</t>
    </rPh>
    <rPh sb="5" eb="6">
      <t>キ</t>
    </rPh>
    <rPh sb="7" eb="8">
      <t>カギ</t>
    </rPh>
    <phoneticPr fontId="3"/>
  </si>
  <si>
    <t>3ヵ月</t>
    <rPh sb="2" eb="3">
      <t>ゲツ</t>
    </rPh>
    <phoneticPr fontId="3"/>
  </si>
  <si>
    <t>【支払い条件】</t>
    <rPh sb="1" eb="3">
      <t>シハラ</t>
    </rPh>
    <rPh sb="4" eb="6">
      <t>ジョウケン</t>
    </rPh>
    <phoneticPr fontId="3"/>
  </si>
  <si>
    <t>出来高現金払 　現金100％</t>
    <rPh sb="0" eb="3">
      <t>デキダカ</t>
    </rPh>
    <rPh sb="3" eb="5">
      <t>ゲンキン</t>
    </rPh>
    <rPh sb="5" eb="6">
      <t>ハラ</t>
    </rPh>
    <rPh sb="8" eb="10">
      <t>ゲンキン</t>
    </rPh>
    <phoneticPr fontId="3"/>
  </si>
  <si>
    <t>【産業廃棄物】</t>
    <rPh sb="1" eb="3">
      <t>サンギョウ</t>
    </rPh>
    <rPh sb="3" eb="6">
      <t>ハイキブツ</t>
    </rPh>
    <phoneticPr fontId="3"/>
  </si>
  <si>
    <t>産業廃棄物に関して当社に関りがあれば着工前に産廃契約を宜しくお願いします</t>
    <rPh sb="0" eb="2">
      <t>サンギョウ</t>
    </rPh>
    <rPh sb="2" eb="5">
      <t>ハイキブツ</t>
    </rPh>
    <rPh sb="6" eb="7">
      <t>カン</t>
    </rPh>
    <rPh sb="9" eb="11">
      <t>トウシャ</t>
    </rPh>
    <rPh sb="12" eb="13">
      <t>カカワ</t>
    </rPh>
    <rPh sb="18" eb="21">
      <t>チャッコウマエ</t>
    </rPh>
    <rPh sb="22" eb="24">
      <t>サンパイ</t>
    </rPh>
    <rPh sb="24" eb="26">
      <t>ケイヤク</t>
    </rPh>
    <rPh sb="27" eb="28">
      <t>ヨロ</t>
    </rPh>
    <rPh sb="31" eb="32">
      <t>ネガ</t>
    </rPh>
    <phoneticPr fontId="3"/>
  </si>
  <si>
    <t>【特記事項】</t>
    <rPh sb="1" eb="5">
      <t>トッキジコウ</t>
    </rPh>
    <phoneticPr fontId="3"/>
  </si>
  <si>
    <t>別紙、工事見積確認書及び見積条件書による</t>
    <rPh sb="0" eb="2">
      <t>ベッシ</t>
    </rPh>
    <rPh sb="3" eb="5">
      <t>コウジ</t>
    </rPh>
    <rPh sb="5" eb="7">
      <t>ミツモリ</t>
    </rPh>
    <rPh sb="7" eb="10">
      <t>カクニンショ</t>
    </rPh>
    <rPh sb="10" eb="11">
      <t>オヨ</t>
    </rPh>
    <rPh sb="12" eb="14">
      <t>ミツモリ</t>
    </rPh>
    <rPh sb="14" eb="17">
      <t>ジョウケンショ</t>
    </rPh>
    <phoneticPr fontId="3"/>
  </si>
  <si>
    <t>【担 当 者】</t>
    <rPh sb="1" eb="2">
      <t>タン</t>
    </rPh>
    <rPh sb="3" eb="4">
      <t>トウ</t>
    </rPh>
    <rPh sb="5" eb="6">
      <t>モノ</t>
    </rPh>
    <phoneticPr fontId="3"/>
  </si>
  <si>
    <t>上原　拓</t>
    <rPh sb="0" eb="2">
      <t>ウエハラ</t>
    </rPh>
    <rPh sb="3" eb="4">
      <t>タク</t>
    </rPh>
    <phoneticPr fontId="3"/>
  </si>
  <si>
    <t>毎度、格別の御引立を賜り有難うございます。</t>
    <rPh sb="0" eb="2">
      <t>マイド</t>
    </rPh>
    <rPh sb="3" eb="5">
      <t>カクベツ</t>
    </rPh>
    <rPh sb="6" eb="9">
      <t>オヒキタ</t>
    </rPh>
    <rPh sb="10" eb="11">
      <t>タマワ</t>
    </rPh>
    <rPh sb="12" eb="14">
      <t>アリガト</t>
    </rPh>
    <phoneticPr fontId="3"/>
  </si>
  <si>
    <t>御依頼を戴きました本件に付き、誠心誠意検討を加え御見積りいたしましたので</t>
    <rPh sb="0" eb="3">
      <t>ゴイライ</t>
    </rPh>
    <rPh sb="4" eb="5">
      <t>イタダ</t>
    </rPh>
    <rPh sb="9" eb="11">
      <t>ホンケン</t>
    </rPh>
    <rPh sb="12" eb="13">
      <t>ツ</t>
    </rPh>
    <rPh sb="15" eb="19">
      <t>セイシンセイイ</t>
    </rPh>
    <rPh sb="19" eb="21">
      <t>ケントウ</t>
    </rPh>
    <rPh sb="22" eb="23">
      <t>クワ</t>
    </rPh>
    <rPh sb="24" eb="27">
      <t>オミツモリ</t>
    </rPh>
    <phoneticPr fontId="3"/>
  </si>
  <si>
    <t>是非御下命戴けます様、お願い申し上げます。</t>
    <rPh sb="0" eb="2">
      <t>ゼヒ</t>
    </rPh>
    <rPh sb="2" eb="3">
      <t>ゴ</t>
    </rPh>
    <rPh sb="3" eb="4">
      <t>シタ</t>
    </rPh>
    <rPh sb="4" eb="5">
      <t>イノチ</t>
    </rPh>
    <rPh sb="5" eb="6">
      <t>イタダ</t>
    </rPh>
    <rPh sb="9" eb="10">
      <t>ヨウ</t>
    </rPh>
    <rPh sb="12" eb="13">
      <t>ネガ</t>
    </rPh>
    <rPh sb="14" eb="15">
      <t>モウ</t>
    </rPh>
    <rPh sb="16" eb="17">
      <t>ア</t>
    </rPh>
    <phoneticPr fontId="3"/>
  </si>
  <si>
    <t>小　計　金　額</t>
    <rPh sb="0" eb="1">
      <t>ショウ</t>
    </rPh>
    <rPh sb="2" eb="3">
      <t>ケイ</t>
    </rPh>
    <rPh sb="4" eb="5">
      <t>キン</t>
    </rPh>
    <rPh sb="6" eb="7">
      <t>ガク</t>
    </rPh>
    <phoneticPr fontId="3"/>
  </si>
  <si>
    <t>消 費 税(10%)</t>
    <rPh sb="0" eb="1">
      <t>ケ</t>
    </rPh>
    <rPh sb="2" eb="3">
      <t>ヒ</t>
    </rPh>
    <rPh sb="4" eb="5">
      <t>ゼイ</t>
    </rPh>
    <phoneticPr fontId="3"/>
  </si>
  <si>
    <t>合　計　金　額</t>
    <rPh sb="0" eb="1">
      <t>ゴウ</t>
    </rPh>
    <rPh sb="2" eb="3">
      <t>ケイ</t>
    </rPh>
    <rPh sb="4" eb="5">
      <t>キン</t>
    </rPh>
    <rPh sb="6" eb="7">
      <t>ガク</t>
    </rPh>
    <phoneticPr fontId="3"/>
  </si>
  <si>
    <t>No.</t>
    <phoneticPr fontId="3"/>
  </si>
  <si>
    <t>名　称</t>
    <rPh sb="0" eb="1">
      <t>ナ</t>
    </rPh>
    <rPh sb="2" eb="3">
      <t>ショウ</t>
    </rPh>
    <phoneticPr fontId="3"/>
  </si>
  <si>
    <t>仕様・規格・寸法</t>
    <rPh sb="0" eb="2">
      <t>シヨウ</t>
    </rPh>
    <rPh sb="3" eb="5">
      <t>キカク</t>
    </rPh>
    <rPh sb="6" eb="8">
      <t>スンポウ</t>
    </rPh>
    <phoneticPr fontId="3"/>
  </si>
  <si>
    <t>数量</t>
    <rPh sb="0" eb="2">
      <t>スウリョウ</t>
    </rPh>
    <phoneticPr fontId="3"/>
  </si>
  <si>
    <t>単位</t>
    <rPh sb="0" eb="2">
      <t>タンイ</t>
    </rPh>
    <phoneticPr fontId="3"/>
  </si>
  <si>
    <t>単　価</t>
    <rPh sb="0" eb="1">
      <t>タン</t>
    </rPh>
    <rPh sb="2" eb="3">
      <t>アタイ</t>
    </rPh>
    <phoneticPr fontId="3"/>
  </si>
  <si>
    <t>金　額</t>
    <rPh sb="0" eb="1">
      <t>カネ</t>
    </rPh>
    <rPh sb="2" eb="3">
      <t>ガク</t>
    </rPh>
    <phoneticPr fontId="3"/>
  </si>
  <si>
    <t>備　考</t>
    <rPh sb="0" eb="1">
      <t>ビ</t>
    </rPh>
    <rPh sb="2" eb="3">
      <t>コウ</t>
    </rPh>
    <phoneticPr fontId="3"/>
  </si>
  <si>
    <t>内訳書別添え</t>
    <rPh sb="0" eb="3">
      <t>ウチワケショ</t>
    </rPh>
    <rPh sb="3" eb="5">
      <t>ベツゾ</t>
    </rPh>
    <phoneticPr fontId="3"/>
  </si>
  <si>
    <t>式</t>
    <rPh sb="0" eb="1">
      <t>シキ</t>
    </rPh>
    <phoneticPr fontId="3"/>
  </si>
  <si>
    <t>NET</t>
    <phoneticPr fontId="3"/>
  </si>
  <si>
    <t>粗利</t>
    <rPh sb="0" eb="2">
      <t>アラリ</t>
    </rPh>
    <phoneticPr fontId="3"/>
  </si>
  <si>
    <t>率</t>
    <rPh sb="0" eb="1">
      <t>リツ</t>
    </rPh>
    <phoneticPr fontId="3"/>
  </si>
  <si>
    <t>合　計　（税抜）</t>
    <rPh sb="0" eb="1">
      <t>ゴウ</t>
    </rPh>
    <rPh sb="2" eb="3">
      <t>ケイ</t>
    </rPh>
    <rPh sb="5" eb="6">
      <t>ゼイ</t>
    </rPh>
    <rPh sb="6" eb="7">
      <t>ヌ</t>
    </rPh>
    <phoneticPr fontId="3"/>
  </si>
  <si>
    <t>決定</t>
    <rPh sb="0" eb="2">
      <t>ケッテイ</t>
    </rPh>
    <phoneticPr fontId="3"/>
  </si>
  <si>
    <t>業　者　名</t>
    <rPh sb="0" eb="1">
      <t>ゴウ</t>
    </rPh>
    <rPh sb="2" eb="3">
      <t>モノ</t>
    </rPh>
    <rPh sb="4" eb="5">
      <t>メイ</t>
    </rPh>
    <phoneticPr fontId="3"/>
  </si>
  <si>
    <t>名          　　称</t>
    <rPh sb="0" eb="1">
      <t>ナ</t>
    </rPh>
    <rPh sb="13" eb="14">
      <t>ショウ</t>
    </rPh>
    <phoneticPr fontId="3"/>
  </si>
  <si>
    <t>規 　　    格</t>
    <rPh sb="0" eb="1">
      <t>キ</t>
    </rPh>
    <rPh sb="8" eb="9">
      <t>カク</t>
    </rPh>
    <phoneticPr fontId="3"/>
  </si>
  <si>
    <t>数　量</t>
    <rPh sb="0" eb="1">
      <t>カズ</t>
    </rPh>
    <rPh sb="2" eb="3">
      <t>リョウ</t>
    </rPh>
    <phoneticPr fontId="3"/>
  </si>
  <si>
    <t>単　位</t>
    <rPh sb="0" eb="1">
      <t>タン</t>
    </rPh>
    <rPh sb="2" eb="3">
      <t>クライ</t>
    </rPh>
    <phoneticPr fontId="3"/>
  </si>
  <si>
    <t>単  価</t>
    <rPh sb="0" eb="1">
      <t>タン</t>
    </rPh>
    <rPh sb="3" eb="4">
      <t>アタイ</t>
    </rPh>
    <phoneticPr fontId="3"/>
  </si>
  <si>
    <t>金   額</t>
    <rPh sb="0" eb="1">
      <t>キン</t>
    </rPh>
    <rPh sb="4" eb="5">
      <t>ガク</t>
    </rPh>
    <phoneticPr fontId="3"/>
  </si>
  <si>
    <t>備   考</t>
    <rPh sb="0" eb="1">
      <t>ビ</t>
    </rPh>
    <rPh sb="4" eb="5">
      <t>コウ</t>
    </rPh>
    <phoneticPr fontId="3"/>
  </si>
  <si>
    <t>直接工事費</t>
    <rPh sb="0" eb="5">
      <t>チョクセツコウジヒ</t>
    </rPh>
    <phoneticPr fontId="3"/>
  </si>
  <si>
    <t>労働災害防止対策費</t>
    <phoneticPr fontId="3"/>
  </si>
  <si>
    <t>機械回送費</t>
    <rPh sb="0" eb="2">
      <t>キカイ</t>
    </rPh>
    <rPh sb="2" eb="5">
      <t>カイソウヒ</t>
    </rPh>
    <phoneticPr fontId="3"/>
  </si>
  <si>
    <t>往復</t>
    <rPh sb="0" eb="2">
      <t>オウフク</t>
    </rPh>
    <phoneticPr fontId="3"/>
  </si>
  <si>
    <t>諸経費</t>
    <rPh sb="0" eb="3">
      <t>ショケイヒ</t>
    </rPh>
    <phoneticPr fontId="3"/>
  </si>
  <si>
    <t>端数調整</t>
    <rPh sb="0" eb="4">
      <t>ハスウチョウセイ</t>
    </rPh>
    <phoneticPr fontId="3"/>
  </si>
  <si>
    <t>法定福利費（事業主負担分）</t>
    <rPh sb="0" eb="5">
      <t>ホウテイフクリヒ</t>
    </rPh>
    <rPh sb="6" eb="12">
      <t>ジギョウヌシフタンブン</t>
    </rPh>
    <phoneticPr fontId="3"/>
  </si>
  <si>
    <t>【小　計】</t>
    <rPh sb="1" eb="2">
      <t>ショウ</t>
    </rPh>
    <rPh sb="3" eb="4">
      <t>ケイ</t>
    </rPh>
    <phoneticPr fontId="3"/>
  </si>
  <si>
    <t>W　J　歩　掛　明　細　書</t>
    <rPh sb="4" eb="5">
      <t>ホ</t>
    </rPh>
    <rPh sb="6" eb="7">
      <t>カケ</t>
    </rPh>
    <rPh sb="12" eb="13">
      <t>ショ</t>
    </rPh>
    <phoneticPr fontId="3"/>
  </si>
  <si>
    <t>１．労務費</t>
    <rPh sb="2" eb="5">
      <t>ロウムヒ</t>
    </rPh>
    <phoneticPr fontId="3"/>
  </si>
  <si>
    <t>土木一般世話役</t>
    <rPh sb="0" eb="2">
      <t>ドボク</t>
    </rPh>
    <rPh sb="2" eb="4">
      <t>イッパン</t>
    </rPh>
    <rPh sb="4" eb="7">
      <t>セワヤク</t>
    </rPh>
    <phoneticPr fontId="3"/>
  </si>
  <si>
    <t>人</t>
    <rPh sb="0" eb="1">
      <t>ニン</t>
    </rPh>
    <phoneticPr fontId="3"/>
  </si>
  <si>
    <t>特殊作業員</t>
    <rPh sb="0" eb="5">
      <t>トクシュサギョウイン</t>
    </rPh>
    <phoneticPr fontId="3"/>
  </si>
  <si>
    <t>特殊運転手</t>
    <rPh sb="0" eb="2">
      <t>トクシュ</t>
    </rPh>
    <rPh sb="2" eb="5">
      <t>ウンテンシュ</t>
    </rPh>
    <phoneticPr fontId="3"/>
  </si>
  <si>
    <t>普通作業員</t>
    <rPh sb="0" eb="2">
      <t>フツウ</t>
    </rPh>
    <rPh sb="2" eb="5">
      <t>サギョウイン</t>
    </rPh>
    <phoneticPr fontId="3"/>
  </si>
  <si>
    <t>普通運転手</t>
    <rPh sb="0" eb="2">
      <t>フツウ</t>
    </rPh>
    <rPh sb="2" eb="5">
      <t>ウンテンシュ</t>
    </rPh>
    <phoneticPr fontId="3"/>
  </si>
  <si>
    <t>2.　機械及び工具運転費</t>
    <rPh sb="3" eb="5">
      <t>キカイ</t>
    </rPh>
    <rPh sb="5" eb="6">
      <t>オヨ</t>
    </rPh>
    <rPh sb="7" eb="9">
      <t>コウグ</t>
    </rPh>
    <rPh sb="9" eb="11">
      <t>ウンテン</t>
    </rPh>
    <rPh sb="11" eb="12">
      <t>ヒ</t>
    </rPh>
    <phoneticPr fontId="3"/>
  </si>
  <si>
    <t>超高圧水発生装置</t>
    <rPh sb="0" eb="1">
      <t>チョウ</t>
    </rPh>
    <rPh sb="1" eb="3">
      <t>コウアツ</t>
    </rPh>
    <rPh sb="3" eb="4">
      <t>スイ</t>
    </rPh>
    <rPh sb="4" eb="6">
      <t>ハッセイ</t>
    </rPh>
    <rPh sb="6" eb="8">
      <t>ソウチ</t>
    </rPh>
    <phoneticPr fontId="3"/>
  </si>
  <si>
    <t>245MPA・36L/min</t>
    <phoneticPr fontId="3"/>
  </si>
  <si>
    <t>台</t>
    <rPh sb="0" eb="1">
      <t>ダイ</t>
    </rPh>
    <phoneticPr fontId="3"/>
  </si>
  <si>
    <t>はつり装置運転費</t>
    <rPh sb="3" eb="5">
      <t>ソウチ</t>
    </rPh>
    <rPh sb="5" eb="8">
      <t>ウンテンヒ</t>
    </rPh>
    <phoneticPr fontId="3"/>
  </si>
  <si>
    <t>245MPA・90L/min</t>
    <phoneticPr fontId="3"/>
  </si>
  <si>
    <t>高性能吸引車</t>
    <rPh sb="0" eb="3">
      <t>コウセイノウ</t>
    </rPh>
    <rPh sb="3" eb="5">
      <t>キュウイン</t>
    </rPh>
    <rPh sb="5" eb="6">
      <t>シャ</t>
    </rPh>
    <phoneticPr fontId="3"/>
  </si>
  <si>
    <t>10ｔ</t>
    <phoneticPr fontId="3"/>
  </si>
  <si>
    <t>散水車運転費</t>
    <rPh sb="0" eb="3">
      <t>サンスイシャ</t>
    </rPh>
    <rPh sb="3" eb="6">
      <t>ウンテンヒ</t>
    </rPh>
    <phoneticPr fontId="3"/>
  </si>
  <si>
    <t>4㎥</t>
    <phoneticPr fontId="3"/>
  </si>
  <si>
    <t>空気圧縮機</t>
    <rPh sb="0" eb="5">
      <t>クウキアッシュクキ</t>
    </rPh>
    <phoneticPr fontId="3"/>
  </si>
  <si>
    <t>エアチッパー</t>
    <phoneticPr fontId="3"/>
  </si>
  <si>
    <t>発動発電機</t>
    <rPh sb="0" eb="2">
      <t>ハツドウ</t>
    </rPh>
    <rPh sb="2" eb="5">
      <t>ハツデンキ</t>
    </rPh>
    <phoneticPr fontId="3"/>
  </si>
  <si>
    <t>40ｋVA</t>
    <phoneticPr fontId="3"/>
  </si>
  <si>
    <t>高圧洗浄機</t>
    <rPh sb="0" eb="2">
      <t>コウアツ</t>
    </rPh>
    <rPh sb="2" eb="4">
      <t>センジョウ</t>
    </rPh>
    <rPh sb="4" eb="5">
      <t>キ</t>
    </rPh>
    <phoneticPr fontId="3"/>
  </si>
  <si>
    <t>エンジン駆動</t>
    <rPh sb="4" eb="6">
      <t>クドウ</t>
    </rPh>
    <phoneticPr fontId="3"/>
  </si>
  <si>
    <t>トラック（クレーン装置付）運転費</t>
    <rPh sb="9" eb="11">
      <t>ソウチ</t>
    </rPh>
    <rPh sb="11" eb="12">
      <t>ツ</t>
    </rPh>
    <rPh sb="13" eb="16">
      <t>ウンテンヒ</t>
    </rPh>
    <phoneticPr fontId="3"/>
  </si>
  <si>
    <t>4ｔ　積2.9ｔ吊</t>
    <rPh sb="3" eb="4">
      <t>ツミ</t>
    </rPh>
    <rPh sb="8" eb="9">
      <t>ツリ</t>
    </rPh>
    <phoneticPr fontId="3"/>
  </si>
  <si>
    <t>トラック運転費</t>
    <rPh sb="4" eb="7">
      <t>ウンテンヒ</t>
    </rPh>
    <phoneticPr fontId="3"/>
  </si>
  <si>
    <t>2ｔ</t>
    <phoneticPr fontId="3"/>
  </si>
  <si>
    <t>3.　消耗材料費</t>
    <rPh sb="3" eb="5">
      <t>ショウモウ</t>
    </rPh>
    <rPh sb="5" eb="8">
      <t>ザイリョウヒ</t>
    </rPh>
    <phoneticPr fontId="3"/>
  </si>
  <si>
    <t>超高圧ホース</t>
    <rPh sb="0" eb="3">
      <t>チョウコウアツ</t>
    </rPh>
    <phoneticPr fontId="3"/>
  </si>
  <si>
    <t>Φ8×20ｍ</t>
    <phoneticPr fontId="3"/>
  </si>
  <si>
    <t>本</t>
    <rPh sb="0" eb="1">
      <t>ホン</t>
    </rPh>
    <phoneticPr fontId="3"/>
  </si>
  <si>
    <t>損耗率：0.025</t>
    <rPh sb="0" eb="2">
      <t>ソンモウ</t>
    </rPh>
    <rPh sb="2" eb="3">
      <t>リツ</t>
    </rPh>
    <phoneticPr fontId="3"/>
  </si>
  <si>
    <t>超高圧ノズル</t>
    <rPh sb="0" eb="3">
      <t>チョウコウアツ</t>
    </rPh>
    <phoneticPr fontId="3"/>
  </si>
  <si>
    <t>1ユニット　2個ノズル使用</t>
    <rPh sb="7" eb="8">
      <t>コ</t>
    </rPh>
    <rPh sb="11" eb="13">
      <t>シヨウ</t>
    </rPh>
    <phoneticPr fontId="3"/>
  </si>
  <si>
    <t>セット</t>
    <phoneticPr fontId="3"/>
  </si>
  <si>
    <t>損耗率：0.25</t>
    <rPh sb="0" eb="2">
      <t>ソンモウ</t>
    </rPh>
    <rPh sb="2" eb="3">
      <t>リツ</t>
    </rPh>
    <phoneticPr fontId="3"/>
  </si>
  <si>
    <t>はつり装置廻り</t>
    <rPh sb="3" eb="6">
      <t>ソウチマワ</t>
    </rPh>
    <phoneticPr fontId="3"/>
  </si>
  <si>
    <t>単管・他</t>
    <rPh sb="0" eb="2">
      <t>タンカン</t>
    </rPh>
    <rPh sb="3" eb="4">
      <t>ホカ</t>
    </rPh>
    <phoneticPr fontId="3"/>
  </si>
  <si>
    <t>【小　計】</t>
    <rPh sb="1" eb="2">
      <t>コ</t>
    </rPh>
    <rPh sb="3" eb="4">
      <t>ケイ</t>
    </rPh>
    <phoneticPr fontId="3"/>
  </si>
  <si>
    <t>ｍ3単価</t>
    <rPh sb="2" eb="4">
      <t>タンカ</t>
    </rPh>
    <phoneticPr fontId="3"/>
  </si>
  <si>
    <t>ｍ3/日</t>
    <rPh sb="3" eb="4">
      <t>ヒ</t>
    </rPh>
    <phoneticPr fontId="3"/>
  </si>
  <si>
    <t>施工条件によっては別途、協議または再見積もり致します。</t>
    <rPh sb="0" eb="2">
      <t>セコウ</t>
    </rPh>
    <rPh sb="2" eb="4">
      <t>ジョウケン</t>
    </rPh>
    <rPh sb="9" eb="11">
      <t>ベット</t>
    </rPh>
    <rPh sb="12" eb="14">
      <t>キョウギ</t>
    </rPh>
    <rPh sb="17" eb="20">
      <t>サイミツ</t>
    </rPh>
    <rPh sb="22" eb="23">
      <t>イタ</t>
    </rPh>
    <phoneticPr fontId="3"/>
  </si>
  <si>
    <t>施工に必要な給水源の支給（清水）をお願い致します。</t>
    <phoneticPr fontId="3"/>
  </si>
  <si>
    <t>汚泥運搬、処分費は別途、清算願います。</t>
    <rPh sb="0" eb="2">
      <t>オデイ</t>
    </rPh>
    <rPh sb="2" eb="4">
      <t>ウンパン</t>
    </rPh>
    <rPh sb="5" eb="7">
      <t>ショブン</t>
    </rPh>
    <rPh sb="7" eb="8">
      <t>ヒ</t>
    </rPh>
    <rPh sb="9" eb="11">
      <t>ベット</t>
    </rPh>
    <rPh sb="12" eb="15">
      <t>セイサンネガ</t>
    </rPh>
    <phoneticPr fontId="3"/>
  </si>
  <si>
    <t>現地近隣に排水処理用仮設プラントの仮設場所、及び工事車両の駐車場所を提供願います。</t>
    <rPh sb="0" eb="2">
      <t>ゲンチ</t>
    </rPh>
    <phoneticPr fontId="3"/>
  </si>
  <si>
    <t>本見積もりには試験施工費、産廃処分費、道路規制費は一切含まれておりません。</t>
    <rPh sb="0" eb="1">
      <t>ホン</t>
    </rPh>
    <rPh sb="1" eb="3">
      <t>ミツ</t>
    </rPh>
    <rPh sb="7" eb="9">
      <t>シケン</t>
    </rPh>
    <rPh sb="9" eb="11">
      <t>セコウ</t>
    </rPh>
    <rPh sb="11" eb="12">
      <t>ヒ</t>
    </rPh>
    <rPh sb="13" eb="15">
      <t>サンパイ</t>
    </rPh>
    <rPh sb="15" eb="17">
      <t>ショブン</t>
    </rPh>
    <rPh sb="17" eb="18">
      <t>ヒ</t>
    </rPh>
    <rPh sb="19" eb="21">
      <t>ドウロ</t>
    </rPh>
    <rPh sb="21" eb="23">
      <t>キセイ</t>
    </rPh>
    <rPh sb="23" eb="24">
      <t>ヒ</t>
    </rPh>
    <rPh sb="25" eb="27">
      <t>イッサイ</t>
    </rPh>
    <rPh sb="27" eb="28">
      <t>フク</t>
    </rPh>
    <phoneticPr fontId="3"/>
  </si>
  <si>
    <t>ご精算は実施工数量にてお願い致します。</t>
    <rPh sb="1" eb="3">
      <t>セイサン</t>
    </rPh>
    <rPh sb="4" eb="5">
      <t>ジツ</t>
    </rPh>
    <rPh sb="5" eb="9">
      <t>セコウスウリョウ</t>
    </rPh>
    <rPh sb="12" eb="13">
      <t>ネガ</t>
    </rPh>
    <rPh sb="14" eb="15">
      <t>イタ</t>
    </rPh>
    <phoneticPr fontId="3"/>
  </si>
  <si>
    <t>内　訳　明　細　書　4</t>
    <rPh sb="0" eb="1">
      <t>ナイ</t>
    </rPh>
    <rPh sb="2" eb="3">
      <t>ワケ</t>
    </rPh>
    <rPh sb="4" eb="5">
      <t>メイ</t>
    </rPh>
    <rPh sb="6" eb="7">
      <t>ホソ</t>
    </rPh>
    <rPh sb="8" eb="9">
      <t>ショ</t>
    </rPh>
    <phoneticPr fontId="3"/>
  </si>
  <si>
    <t>m2</t>
    <phoneticPr fontId="3"/>
  </si>
  <si>
    <t>内　訳　明　細　書　2</t>
    <rPh sb="0" eb="1">
      <t>ナイ</t>
    </rPh>
    <rPh sb="2" eb="3">
      <t>ワケ</t>
    </rPh>
    <rPh sb="4" eb="5">
      <t>メイ</t>
    </rPh>
    <rPh sb="6" eb="7">
      <t>ホソ</t>
    </rPh>
    <rPh sb="8" eb="9">
      <t>ショ</t>
    </rPh>
    <phoneticPr fontId="3"/>
  </si>
  <si>
    <t>施　工　条　件　書　2</t>
    <rPh sb="0" eb="1">
      <t>シ</t>
    </rPh>
    <rPh sb="2" eb="3">
      <t>コウ</t>
    </rPh>
    <rPh sb="4" eb="5">
      <t>ジョウ</t>
    </rPh>
    <rPh sb="6" eb="7">
      <t>ケン</t>
    </rPh>
    <rPh sb="8" eb="9">
      <t>ショ</t>
    </rPh>
    <phoneticPr fontId="3"/>
  </si>
  <si>
    <t>㎡</t>
    <phoneticPr fontId="3"/>
  </si>
  <si>
    <t>令和6年度福岡県労務費単価</t>
    <rPh sb="0" eb="2">
      <t>レイワ</t>
    </rPh>
    <rPh sb="3" eb="5">
      <t>ネンド</t>
    </rPh>
    <rPh sb="5" eb="7">
      <t>フクオカ</t>
    </rPh>
    <rPh sb="7" eb="8">
      <t>ケン</t>
    </rPh>
    <rPh sb="8" eb="11">
      <t>ロウムヒ</t>
    </rPh>
    <rPh sb="11" eb="13">
      <t>タンカ</t>
    </rPh>
    <phoneticPr fontId="3"/>
  </si>
  <si>
    <t>細部、端部にて回転式研磨機を使用する場合があります。予めご了承ください。</t>
    <rPh sb="0" eb="2">
      <t>サイブ</t>
    </rPh>
    <rPh sb="3" eb="5">
      <t>タンブ</t>
    </rPh>
    <rPh sb="7" eb="10">
      <t>カイテンシキ</t>
    </rPh>
    <rPh sb="10" eb="13">
      <t>ケンマキ</t>
    </rPh>
    <rPh sb="14" eb="16">
      <t>シヨウ</t>
    </rPh>
    <rPh sb="18" eb="20">
      <t>バアイ</t>
    </rPh>
    <rPh sb="26" eb="27">
      <t>アラカジ</t>
    </rPh>
    <rPh sb="29" eb="31">
      <t>リョウショウ</t>
    </rPh>
    <phoneticPr fontId="3"/>
  </si>
  <si>
    <t>原価計</t>
    <rPh sb="0" eb="2">
      <t>ゲンカ</t>
    </rPh>
    <rPh sb="2" eb="3">
      <t>ケイ</t>
    </rPh>
    <phoneticPr fontId="3"/>
  </si>
  <si>
    <t>返済ｍ3</t>
    <rPh sb="0" eb="2">
      <t>ヘンサイ</t>
    </rPh>
    <phoneticPr fontId="3"/>
  </si>
  <si>
    <t>ポンプ</t>
    <phoneticPr fontId="3"/>
  </si>
  <si>
    <t>労務</t>
    <rPh sb="0" eb="2">
      <t>ロウム</t>
    </rPh>
    <phoneticPr fontId="3"/>
  </si>
  <si>
    <t>車両費</t>
    <rPh sb="0" eb="2">
      <t>シャリョウ</t>
    </rPh>
    <rPh sb="2" eb="3">
      <t>ヒ</t>
    </rPh>
    <phoneticPr fontId="3"/>
  </si>
  <si>
    <t>吸引車</t>
    <rPh sb="0" eb="3">
      <t>キュウインシャ</t>
    </rPh>
    <phoneticPr fontId="3"/>
  </si>
  <si>
    <t>ｍ3</t>
    <phoneticPr fontId="3"/>
  </si>
  <si>
    <t>社会保険料率　　　　　＝15.938％</t>
    <phoneticPr fontId="3"/>
  </si>
  <si>
    <t>吸引業者の汚泥運搬・処分費は含まれておりません。直接元請様から吸引業者へお支払いお願いします。</t>
    <rPh sb="0" eb="2">
      <t>キュウイン</t>
    </rPh>
    <rPh sb="2" eb="4">
      <t>ギョウシャ</t>
    </rPh>
    <rPh sb="5" eb="7">
      <t>オデイ</t>
    </rPh>
    <rPh sb="7" eb="9">
      <t>ウンパン</t>
    </rPh>
    <rPh sb="10" eb="12">
      <t>ショブン</t>
    </rPh>
    <rPh sb="12" eb="13">
      <t>ヒ</t>
    </rPh>
    <rPh sb="14" eb="15">
      <t>フク</t>
    </rPh>
    <rPh sb="24" eb="26">
      <t>チョクセツ</t>
    </rPh>
    <rPh sb="26" eb="29">
      <t>モトウケサマ</t>
    </rPh>
    <rPh sb="31" eb="33">
      <t>キュウイン</t>
    </rPh>
    <rPh sb="33" eb="35">
      <t>ギョウシャ</t>
    </rPh>
    <rPh sb="37" eb="39">
      <t>シハラ</t>
    </rPh>
    <rPh sb="41" eb="42">
      <t>ネガ</t>
    </rPh>
    <phoneticPr fontId="3"/>
  </si>
  <si>
    <t>コンクリートはつり工</t>
    <phoneticPr fontId="3"/>
  </si>
  <si>
    <t>大型車2台(吸引車)　中型3台(WJ車)　散水車2台　作業車1台</t>
    <rPh sb="0" eb="2">
      <t>オオガタ</t>
    </rPh>
    <rPh sb="2" eb="3">
      <t>シャ</t>
    </rPh>
    <rPh sb="4" eb="5">
      <t>ダイ</t>
    </rPh>
    <rPh sb="6" eb="8">
      <t>キュウイン</t>
    </rPh>
    <rPh sb="8" eb="9">
      <t>シャ</t>
    </rPh>
    <rPh sb="11" eb="13">
      <t>チュウガタ</t>
    </rPh>
    <rPh sb="14" eb="15">
      <t>ダイ</t>
    </rPh>
    <rPh sb="18" eb="19">
      <t>シャ</t>
    </rPh>
    <rPh sb="21" eb="24">
      <t>サンスイシャ</t>
    </rPh>
    <rPh sb="25" eb="26">
      <t>ダイ</t>
    </rPh>
    <rPh sb="27" eb="30">
      <t>サギョウシャ</t>
    </rPh>
    <rPh sb="31" eb="32">
      <t>ダイ</t>
    </rPh>
    <phoneticPr fontId="3"/>
  </si>
  <si>
    <t>本見積りはコンクリート床版面をWJロボットはつり工法で施工する場合の見積もりです。</t>
    <rPh sb="0" eb="3">
      <t>ホンミツモ</t>
    </rPh>
    <rPh sb="11" eb="13">
      <t>ショウバン</t>
    </rPh>
    <rPh sb="13" eb="14">
      <t>メン</t>
    </rPh>
    <rPh sb="24" eb="26">
      <t>コウホウ</t>
    </rPh>
    <rPh sb="27" eb="29">
      <t>セコウ</t>
    </rPh>
    <rPh sb="31" eb="33">
      <t>バアイ</t>
    </rPh>
    <rPh sb="34" eb="36">
      <t>ミツ</t>
    </rPh>
    <phoneticPr fontId="3"/>
  </si>
  <si>
    <t>飛散養生等の安全対策費は含まれております。</t>
    <rPh sb="0" eb="4">
      <t>ヒサンヨウジョウ</t>
    </rPh>
    <rPh sb="4" eb="5">
      <t>トウ</t>
    </rPh>
    <rPh sb="6" eb="11">
      <t>アンゼンタイサクヒ</t>
    </rPh>
    <rPh sb="12" eb="13">
      <t>フク</t>
    </rPh>
    <phoneticPr fontId="3"/>
  </si>
  <si>
    <t>本見積りは床版上面における断面修復を左官工法で施工する場合の見積もりです。</t>
    <rPh sb="0" eb="3">
      <t>ホンミツモ</t>
    </rPh>
    <rPh sb="18" eb="20">
      <t>サカン</t>
    </rPh>
    <rPh sb="20" eb="22">
      <t>コウホウ</t>
    </rPh>
    <rPh sb="23" eb="25">
      <t>セコウ</t>
    </rPh>
    <rPh sb="27" eb="29">
      <t>バアイ</t>
    </rPh>
    <rPh sb="30" eb="32">
      <t>ミツ</t>
    </rPh>
    <phoneticPr fontId="3"/>
  </si>
  <si>
    <t>使用するコンクリートミキサーは【パワーミキサーPTM-10強力型】でのお見積りです。(予備機含む2台体制で施工いたします。)</t>
    <rPh sb="0" eb="2">
      <t>シヨウ</t>
    </rPh>
    <rPh sb="29" eb="32">
      <t>キョウリョクガタ</t>
    </rPh>
    <rPh sb="36" eb="38">
      <t>ミツモ</t>
    </rPh>
    <rPh sb="43" eb="47">
      <t>ヨビキフク</t>
    </rPh>
    <rPh sb="49" eb="50">
      <t>ダイ</t>
    </rPh>
    <rPh sb="50" eb="52">
      <t>タイセイ</t>
    </rPh>
    <rPh sb="53" eb="55">
      <t>セコウ</t>
    </rPh>
    <phoneticPr fontId="3"/>
  </si>
  <si>
    <t>ボンド塗布する際の飛散養生等の安全対策費は含まれております。</t>
    <rPh sb="3" eb="5">
      <t>トフ</t>
    </rPh>
    <rPh sb="7" eb="8">
      <t>サイ</t>
    </rPh>
    <rPh sb="9" eb="13">
      <t>ヒサンヨウジョウ</t>
    </rPh>
    <rPh sb="13" eb="14">
      <t>トウ</t>
    </rPh>
    <rPh sb="15" eb="20">
      <t>アンゼンタイサクヒ</t>
    </rPh>
    <rPh sb="21" eb="22">
      <t>フク</t>
    </rPh>
    <phoneticPr fontId="3"/>
  </si>
  <si>
    <t>ポンプ車　散水車</t>
    <rPh sb="3" eb="4">
      <t>シャ</t>
    </rPh>
    <rPh sb="5" eb="8">
      <t>サンスイシャ</t>
    </rPh>
    <phoneticPr fontId="3"/>
  </si>
  <si>
    <t>吸引業者の汚泥運搬・処分費は含まれておりません。</t>
    <rPh sb="0" eb="2">
      <t>キュウイン</t>
    </rPh>
    <rPh sb="2" eb="4">
      <t>ギョウシャ</t>
    </rPh>
    <rPh sb="5" eb="7">
      <t>オデイ</t>
    </rPh>
    <rPh sb="7" eb="9">
      <t>ウンパン</t>
    </rPh>
    <rPh sb="10" eb="12">
      <t>ショブン</t>
    </rPh>
    <rPh sb="12" eb="13">
      <t>ヒ</t>
    </rPh>
    <rPh sb="14" eb="15">
      <t>フク</t>
    </rPh>
    <phoneticPr fontId="3"/>
  </si>
  <si>
    <t>床版補修工　WJ</t>
    <rPh sb="2" eb="4">
      <t>ホシュウ</t>
    </rPh>
    <rPh sb="4" eb="5">
      <t>コウ</t>
    </rPh>
    <phoneticPr fontId="3"/>
  </si>
  <si>
    <t>床版補修工　左官</t>
    <rPh sb="2" eb="4">
      <t>ホシュウ</t>
    </rPh>
    <rPh sb="4" eb="5">
      <t>コウ</t>
    </rPh>
    <rPh sb="6" eb="8">
      <t>サカン</t>
    </rPh>
    <phoneticPr fontId="3"/>
  </si>
  <si>
    <t>渡辺　基弥</t>
    <rPh sb="0" eb="2">
      <t>ワタナベ</t>
    </rPh>
    <rPh sb="3" eb="4">
      <t>モト</t>
    </rPh>
    <rPh sb="4" eb="5">
      <t>ヤ</t>
    </rPh>
    <phoneticPr fontId="3"/>
  </si>
  <si>
    <t>舗装工</t>
    <rPh sb="0" eb="3">
      <t>ホソウコウ</t>
    </rPh>
    <phoneticPr fontId="3"/>
  </si>
  <si>
    <t>内訳書別添え</t>
    <rPh sb="0" eb="3">
      <t>ウチワケショ</t>
    </rPh>
    <rPh sb="3" eb="4">
      <t>ベツ</t>
    </rPh>
    <rPh sb="4" eb="5">
      <t>ゾ</t>
    </rPh>
    <phoneticPr fontId="3"/>
  </si>
  <si>
    <t>切削オーバーレイ工(土工部)</t>
    <rPh sb="0" eb="2">
      <t>セッサク</t>
    </rPh>
    <rPh sb="8" eb="9">
      <t>コウ</t>
    </rPh>
    <rPh sb="10" eb="13">
      <t>ドコウブ</t>
    </rPh>
    <phoneticPr fontId="3"/>
  </si>
  <si>
    <t>昼間施工　8時～17時</t>
    <rPh sb="0" eb="2">
      <t>ヒルマ</t>
    </rPh>
    <rPh sb="2" eb="4">
      <t>セコウ</t>
    </rPh>
    <rPh sb="6" eb="7">
      <t>ジ</t>
    </rPh>
    <rPh sb="10" eb="11">
      <t>ジ</t>
    </rPh>
    <phoneticPr fontId="3"/>
  </si>
  <si>
    <t>日/式</t>
    <rPh sb="0" eb="1">
      <t>ニチ</t>
    </rPh>
    <rPh sb="2" eb="3">
      <t>シキ</t>
    </rPh>
    <phoneticPr fontId="3"/>
  </si>
  <si>
    <t>夜昼施工　19時～翌9時</t>
    <rPh sb="0" eb="2">
      <t>ヨルヒル</t>
    </rPh>
    <rPh sb="2" eb="4">
      <t>セコウ</t>
    </rPh>
    <rPh sb="7" eb="8">
      <t>ジ</t>
    </rPh>
    <rPh sb="9" eb="10">
      <t>ヨク</t>
    </rPh>
    <rPh sb="11" eb="12">
      <t>ジ</t>
    </rPh>
    <phoneticPr fontId="3"/>
  </si>
  <si>
    <t>夜間施工　19時～翌5時</t>
    <rPh sb="0" eb="2">
      <t>ヤカン</t>
    </rPh>
    <rPh sb="2" eb="4">
      <t>セコウ</t>
    </rPh>
    <rPh sb="7" eb="8">
      <t>ジ</t>
    </rPh>
    <rPh sb="9" eb="10">
      <t>ヨク</t>
    </rPh>
    <rPh sb="11" eb="12">
      <t>ジ</t>
    </rPh>
    <phoneticPr fontId="3"/>
  </si>
  <si>
    <t>切削オーバーレイ工(橋梁部)</t>
    <rPh sb="0" eb="2">
      <t>セッサク</t>
    </rPh>
    <rPh sb="8" eb="9">
      <t>コウ</t>
    </rPh>
    <rPh sb="10" eb="13">
      <t>キョウリョウブ</t>
    </rPh>
    <phoneticPr fontId="3"/>
  </si>
  <si>
    <t>撤去のみ　夜間施工　19時～翌1時</t>
    <rPh sb="0" eb="2">
      <t>テッキョ</t>
    </rPh>
    <rPh sb="5" eb="7">
      <t>ヤカン</t>
    </rPh>
    <rPh sb="7" eb="9">
      <t>セコウ</t>
    </rPh>
    <rPh sb="12" eb="13">
      <t>ジ</t>
    </rPh>
    <rPh sb="14" eb="15">
      <t>ヨク</t>
    </rPh>
    <rPh sb="16" eb="17">
      <t>ジ</t>
    </rPh>
    <phoneticPr fontId="3"/>
  </si>
  <si>
    <t>舗装のみ　昼間施工　9時～12時</t>
    <rPh sb="0" eb="2">
      <t>ホソウ</t>
    </rPh>
    <rPh sb="5" eb="7">
      <t>ヒルマ</t>
    </rPh>
    <rPh sb="7" eb="9">
      <t>セコウ</t>
    </rPh>
    <rPh sb="11" eb="12">
      <t>ジ</t>
    </rPh>
    <rPh sb="15" eb="16">
      <t>ジ</t>
    </rPh>
    <phoneticPr fontId="3"/>
  </si>
  <si>
    <t>打換工(橋梁部)</t>
    <rPh sb="0" eb="1">
      <t>ウ</t>
    </rPh>
    <rPh sb="1" eb="2">
      <t>カ</t>
    </rPh>
    <rPh sb="2" eb="3">
      <t>コウ</t>
    </rPh>
    <rPh sb="4" eb="7">
      <t>キョウリョウブ</t>
    </rPh>
    <phoneticPr fontId="3"/>
  </si>
  <si>
    <t>夜間施工　</t>
    <rPh sb="0" eb="2">
      <t>ヤカン</t>
    </rPh>
    <rPh sb="2" eb="4">
      <t>セコウ</t>
    </rPh>
    <phoneticPr fontId="3"/>
  </si>
  <si>
    <t>夜間施工　地覆部縁石撤去舗装　19時～翌5時</t>
    <rPh sb="0" eb="2">
      <t>ヤカン</t>
    </rPh>
    <rPh sb="2" eb="4">
      <t>セコウ</t>
    </rPh>
    <rPh sb="5" eb="6">
      <t>チ</t>
    </rPh>
    <rPh sb="7" eb="8">
      <t>ブ</t>
    </rPh>
    <rPh sb="8" eb="10">
      <t>フチイシ</t>
    </rPh>
    <rPh sb="10" eb="12">
      <t>テッキョ</t>
    </rPh>
    <rPh sb="12" eb="14">
      <t>ホソウ</t>
    </rPh>
    <rPh sb="17" eb="18">
      <t>ジ</t>
    </rPh>
    <rPh sb="19" eb="20">
      <t>ヨク</t>
    </rPh>
    <rPh sb="21" eb="22">
      <t>ジ</t>
    </rPh>
    <phoneticPr fontId="3"/>
  </si>
  <si>
    <t>事前調査　夜間</t>
    <rPh sb="0" eb="4">
      <t>ジゼンチョウサ</t>
    </rPh>
    <rPh sb="5" eb="7">
      <t>ヤカン</t>
    </rPh>
    <phoneticPr fontId="3"/>
  </si>
  <si>
    <t>夜間　19時～5時</t>
    <rPh sb="0" eb="2">
      <t>ヤカン</t>
    </rPh>
    <rPh sb="5" eb="6">
      <t>ジ</t>
    </rPh>
    <rPh sb="8" eb="9">
      <t>ジ</t>
    </rPh>
    <phoneticPr fontId="3"/>
  </si>
  <si>
    <t>事前調査　昼間</t>
    <rPh sb="0" eb="4">
      <t>ジゼンチョウサ</t>
    </rPh>
    <rPh sb="5" eb="7">
      <t>ヒルマ</t>
    </rPh>
    <phoneticPr fontId="3"/>
  </si>
  <si>
    <t>昼間　8時～17時</t>
    <rPh sb="0" eb="2">
      <t>ヒルマ</t>
    </rPh>
    <rPh sb="4" eb="5">
      <t>ジ</t>
    </rPh>
    <rPh sb="8" eb="9">
      <t>ジ</t>
    </rPh>
    <phoneticPr fontId="3"/>
  </si>
  <si>
    <t>内　訳　明　細　書　1</t>
    <rPh sb="0" eb="1">
      <t>ナイ</t>
    </rPh>
    <rPh sb="2" eb="3">
      <t>ワケ</t>
    </rPh>
    <rPh sb="4" eb="5">
      <t>メイ</t>
    </rPh>
    <rPh sb="6" eb="7">
      <t>ホソ</t>
    </rPh>
    <rPh sb="8" eb="9">
      <t>ショ</t>
    </rPh>
    <phoneticPr fontId="3"/>
  </si>
  <si>
    <t>1.　切削オーバーレイ工(土工部)</t>
    <rPh sb="3" eb="5">
      <t>セッサク</t>
    </rPh>
    <rPh sb="11" eb="12">
      <t>コウ</t>
    </rPh>
    <rPh sb="13" eb="16">
      <t>ドコウブ</t>
    </rPh>
    <phoneticPr fontId="3"/>
  </si>
  <si>
    <t>昼間施工　8：00～17：00</t>
    <rPh sb="0" eb="2">
      <t>ヒルマ</t>
    </rPh>
    <rPh sb="2" eb="4">
      <t>セコウ</t>
    </rPh>
    <phoneticPr fontId="3"/>
  </si>
  <si>
    <t>1日日当たり</t>
    <rPh sb="1" eb="2">
      <t>ニチ</t>
    </rPh>
    <rPh sb="2" eb="4">
      <t>ヒア</t>
    </rPh>
    <phoneticPr fontId="3"/>
  </si>
  <si>
    <t>特殊作業員</t>
    <rPh sb="0" eb="2">
      <t>トクシュ</t>
    </rPh>
    <rPh sb="2" eb="5">
      <t>サギョウイン</t>
    </rPh>
    <phoneticPr fontId="3"/>
  </si>
  <si>
    <t>職長1　6.0AF２　MR1　TR1　</t>
    <rPh sb="0" eb="2">
      <t>ショクチョウ</t>
    </rPh>
    <phoneticPr fontId="3"/>
  </si>
  <si>
    <t>人工</t>
    <rPh sb="0" eb="2">
      <t>ニンク</t>
    </rPh>
    <phoneticPr fontId="3"/>
  </si>
  <si>
    <t>機械オペ</t>
    <rPh sb="0" eb="2">
      <t>キカイ</t>
    </rPh>
    <phoneticPr fontId="3"/>
  </si>
  <si>
    <t>普通作業員</t>
    <rPh sb="0" eb="5">
      <t>フツウサギョウイン</t>
    </rPh>
    <phoneticPr fontId="3"/>
  </si>
  <si>
    <t>スコップ2　レーキ2　誘導員1　監視員1</t>
    <rPh sb="11" eb="14">
      <t>ユウドウイン</t>
    </rPh>
    <rPh sb="16" eb="19">
      <t>カンシイン</t>
    </rPh>
    <phoneticPr fontId="3"/>
  </si>
  <si>
    <t>小物機械費</t>
    <rPh sb="0" eb="4">
      <t>コモノキカイ</t>
    </rPh>
    <rPh sb="4" eb="5">
      <t>ヒ</t>
    </rPh>
    <phoneticPr fontId="3"/>
  </si>
  <si>
    <t>清掃　はつり　転圧機械　コアマシーン</t>
    <rPh sb="0" eb="2">
      <t>セイソウ</t>
    </rPh>
    <rPh sb="7" eb="9">
      <t>テンアツ</t>
    </rPh>
    <rPh sb="9" eb="11">
      <t>キカイ</t>
    </rPh>
    <phoneticPr fontId="3"/>
  </si>
  <si>
    <t>車両費</t>
    <rPh sb="0" eb="3">
      <t>シャリョウヒ</t>
    </rPh>
    <phoneticPr fontId="3"/>
  </si>
  <si>
    <t>Wキャブ　3ｔダンプ　連絡車2</t>
    <rPh sb="11" eb="14">
      <t>レンラクシャ</t>
    </rPh>
    <phoneticPr fontId="3"/>
  </si>
  <si>
    <t>交通費</t>
    <rPh sb="0" eb="3">
      <t>コウツウヒ</t>
    </rPh>
    <phoneticPr fontId="3"/>
  </si>
  <si>
    <t>高速代　燃料費</t>
    <rPh sb="0" eb="2">
      <t>コウソク</t>
    </rPh>
    <rPh sb="2" eb="3">
      <t>ダイ</t>
    </rPh>
    <rPh sb="4" eb="6">
      <t>ネンリョウ</t>
    </rPh>
    <rPh sb="6" eb="7">
      <t>ヒ</t>
    </rPh>
    <phoneticPr fontId="3"/>
  </si>
  <si>
    <t>重機機械費</t>
    <rPh sb="0" eb="2">
      <t>ジュウキ</t>
    </rPh>
    <rPh sb="2" eb="5">
      <t>キカイヒ</t>
    </rPh>
    <phoneticPr fontId="3"/>
  </si>
  <si>
    <t>6.0AF　MR　TR　0.15BH　AFセンサー</t>
    <phoneticPr fontId="3"/>
  </si>
  <si>
    <t>稼働月１０日以上</t>
    <rPh sb="0" eb="2">
      <t>カドウ</t>
    </rPh>
    <rPh sb="2" eb="3">
      <t>ツキ</t>
    </rPh>
    <rPh sb="5" eb="6">
      <t>ニチ</t>
    </rPh>
    <rPh sb="6" eb="8">
      <t>イジョウ</t>
    </rPh>
    <phoneticPr fontId="3"/>
  </si>
  <si>
    <t>重機燃料費</t>
    <rPh sb="0" eb="2">
      <t>ジュウキ</t>
    </rPh>
    <rPh sb="2" eb="5">
      <t>ネンリョウヒ</t>
    </rPh>
    <phoneticPr fontId="3"/>
  </si>
  <si>
    <t>軽油</t>
    <rPh sb="0" eb="2">
      <t>ケイユ</t>
    </rPh>
    <phoneticPr fontId="3"/>
  </si>
  <si>
    <t>残業</t>
    <rPh sb="0" eb="2">
      <t>ザンギョウ</t>
    </rPh>
    <phoneticPr fontId="3"/>
  </si>
  <si>
    <t>作業時間8ｈを超えた場合</t>
    <rPh sb="0" eb="2">
      <t>サギョウ</t>
    </rPh>
    <rPh sb="2" eb="4">
      <t>ジカン</t>
    </rPh>
    <rPh sb="7" eb="8">
      <t>コ</t>
    </rPh>
    <rPh sb="10" eb="12">
      <t>バアイ</t>
    </rPh>
    <phoneticPr fontId="3"/>
  </si>
  <si>
    <t>ｈ</t>
    <phoneticPr fontId="3"/>
  </si>
  <si>
    <t>別途請求</t>
    <rPh sb="0" eb="2">
      <t>ベット</t>
    </rPh>
    <rPh sb="2" eb="4">
      <t>セイキュウ</t>
    </rPh>
    <phoneticPr fontId="3"/>
  </si>
  <si>
    <t>法定福利費</t>
    <rPh sb="0" eb="5">
      <t>ホウテイフクリヒ</t>
    </rPh>
    <phoneticPr fontId="3"/>
  </si>
  <si>
    <t>1.　【合計】</t>
    <rPh sb="4" eb="6">
      <t>ゴウケイ</t>
    </rPh>
    <phoneticPr fontId="3"/>
  </si>
  <si>
    <t>2.　切削オーバーレイ工(土工部)</t>
    <rPh sb="3" eb="5">
      <t>セッサク</t>
    </rPh>
    <rPh sb="11" eb="12">
      <t>コウ</t>
    </rPh>
    <rPh sb="13" eb="16">
      <t>ドコウブ</t>
    </rPh>
    <phoneticPr fontId="3"/>
  </si>
  <si>
    <t>夜昼施工　19：00～翌9：00</t>
    <rPh sb="0" eb="2">
      <t>ヨルヒル</t>
    </rPh>
    <rPh sb="2" eb="4">
      <t>セコウ</t>
    </rPh>
    <rPh sb="11" eb="12">
      <t>ヨク</t>
    </rPh>
    <phoneticPr fontId="3"/>
  </si>
  <si>
    <t>夜間照明ご用意願います。</t>
    <phoneticPr fontId="3"/>
  </si>
  <si>
    <t>2.　【合計】</t>
    <rPh sb="4" eb="6">
      <t>ゴウケイ</t>
    </rPh>
    <phoneticPr fontId="3"/>
  </si>
  <si>
    <t>内　訳　明　細　書　3</t>
    <rPh sb="0" eb="1">
      <t>ナイ</t>
    </rPh>
    <rPh sb="2" eb="3">
      <t>ワケ</t>
    </rPh>
    <rPh sb="4" eb="5">
      <t>メイ</t>
    </rPh>
    <rPh sb="6" eb="7">
      <t>ホソ</t>
    </rPh>
    <rPh sb="8" eb="9">
      <t>ショ</t>
    </rPh>
    <phoneticPr fontId="3"/>
  </si>
  <si>
    <t>3.　切削オーバーレイ工(土工部)</t>
    <rPh sb="3" eb="5">
      <t>セッサク</t>
    </rPh>
    <rPh sb="11" eb="12">
      <t>コウ</t>
    </rPh>
    <rPh sb="13" eb="16">
      <t>ドコウブ</t>
    </rPh>
    <phoneticPr fontId="3"/>
  </si>
  <si>
    <t>夜間施工　19：00～翌5：00</t>
    <rPh sb="0" eb="2">
      <t>ヤカン</t>
    </rPh>
    <rPh sb="2" eb="4">
      <t>セコウ</t>
    </rPh>
    <rPh sb="11" eb="12">
      <t>ヨク</t>
    </rPh>
    <phoneticPr fontId="3"/>
  </si>
  <si>
    <t>3.　【合計】</t>
    <rPh sb="4" eb="6">
      <t>ゴウケイ</t>
    </rPh>
    <phoneticPr fontId="3"/>
  </si>
  <si>
    <t>4.　切削オーバーレイ工(橋梁部)</t>
    <rPh sb="3" eb="5">
      <t>セッサク</t>
    </rPh>
    <rPh sb="11" eb="12">
      <t>コウ</t>
    </rPh>
    <rPh sb="13" eb="16">
      <t>キョウリョウブ</t>
    </rPh>
    <phoneticPr fontId="3"/>
  </si>
  <si>
    <t>夜間施工　19：00～翌1：00　撤去のみ</t>
    <rPh sb="0" eb="2">
      <t>ヤカン</t>
    </rPh>
    <rPh sb="2" eb="4">
      <t>セコウ</t>
    </rPh>
    <rPh sb="11" eb="12">
      <t>ヨク</t>
    </rPh>
    <rPh sb="17" eb="19">
      <t>テッキョ</t>
    </rPh>
    <phoneticPr fontId="3"/>
  </si>
  <si>
    <t>職長　0.25BHオペ　0.15BHオペ</t>
    <rPh sb="0" eb="2">
      <t>ショクチョウ</t>
    </rPh>
    <phoneticPr fontId="3"/>
  </si>
  <si>
    <t>監視員　誘導員　含む</t>
    <rPh sb="0" eb="3">
      <t>カンシイン</t>
    </rPh>
    <rPh sb="4" eb="7">
      <t>ユウドウイン</t>
    </rPh>
    <rPh sb="8" eb="9">
      <t>フク</t>
    </rPh>
    <phoneticPr fontId="3"/>
  </si>
  <si>
    <t>清掃　はつり機材</t>
    <rPh sb="0" eb="2">
      <t>セイソウ</t>
    </rPh>
    <rPh sb="6" eb="8">
      <t>キザイ</t>
    </rPh>
    <phoneticPr fontId="3"/>
  </si>
  <si>
    <t>Wキャブ　3ｔダンプ　連絡車1</t>
    <rPh sb="11" eb="14">
      <t>レンラクシャ</t>
    </rPh>
    <phoneticPr fontId="3"/>
  </si>
  <si>
    <t>0.25BH　0.15BH</t>
    <phoneticPr fontId="3"/>
  </si>
  <si>
    <t>4.　【合計】</t>
    <rPh sb="4" eb="6">
      <t>ゴウケイ</t>
    </rPh>
    <phoneticPr fontId="3"/>
  </si>
  <si>
    <t>内　訳　明　細　書　5</t>
    <rPh sb="0" eb="1">
      <t>ナイ</t>
    </rPh>
    <rPh sb="2" eb="3">
      <t>ワケ</t>
    </rPh>
    <rPh sb="4" eb="5">
      <t>メイ</t>
    </rPh>
    <rPh sb="6" eb="7">
      <t>ホソ</t>
    </rPh>
    <rPh sb="8" eb="9">
      <t>ショ</t>
    </rPh>
    <phoneticPr fontId="3"/>
  </si>
  <si>
    <t>5.　切削オーバーレイ工(橋梁部)</t>
    <rPh sb="3" eb="5">
      <t>セッサク</t>
    </rPh>
    <rPh sb="11" eb="12">
      <t>コウ</t>
    </rPh>
    <rPh sb="13" eb="16">
      <t>キョウリョウブ</t>
    </rPh>
    <phoneticPr fontId="3"/>
  </si>
  <si>
    <t>稼働月10日以上</t>
    <rPh sb="0" eb="2">
      <t>カドウ</t>
    </rPh>
    <rPh sb="2" eb="3">
      <t>ツキ</t>
    </rPh>
    <rPh sb="5" eb="6">
      <t>ニチ</t>
    </rPh>
    <rPh sb="6" eb="8">
      <t>イジョウ</t>
    </rPh>
    <phoneticPr fontId="3"/>
  </si>
  <si>
    <t>5.　【合計】</t>
    <rPh sb="4" eb="6">
      <t>ゴウケイ</t>
    </rPh>
    <phoneticPr fontId="3"/>
  </si>
  <si>
    <t>内　訳　明　細　書　6</t>
    <rPh sb="0" eb="1">
      <t>ナイ</t>
    </rPh>
    <rPh sb="2" eb="3">
      <t>ワケ</t>
    </rPh>
    <rPh sb="4" eb="5">
      <t>メイ</t>
    </rPh>
    <rPh sb="6" eb="7">
      <t>ホソ</t>
    </rPh>
    <rPh sb="8" eb="9">
      <t>ショ</t>
    </rPh>
    <phoneticPr fontId="3"/>
  </si>
  <si>
    <t>6.　切削オーバーレイ工(橋梁部)</t>
    <rPh sb="3" eb="5">
      <t>セッサク</t>
    </rPh>
    <rPh sb="11" eb="12">
      <t>コウ</t>
    </rPh>
    <rPh sb="13" eb="16">
      <t>キョウリョウブ</t>
    </rPh>
    <phoneticPr fontId="3"/>
  </si>
  <si>
    <t>清掃　はつり　転圧機械</t>
    <rPh sb="0" eb="2">
      <t>セイソウ</t>
    </rPh>
    <rPh sb="7" eb="9">
      <t>テンアツ</t>
    </rPh>
    <rPh sb="9" eb="11">
      <t>キカイ</t>
    </rPh>
    <phoneticPr fontId="3"/>
  </si>
  <si>
    <t>6.0AF　MR　TR　0.15BH　0.25BH　AFセンサー</t>
    <phoneticPr fontId="3"/>
  </si>
  <si>
    <t>6.　【合計】</t>
    <rPh sb="4" eb="6">
      <t>ゴウケイ</t>
    </rPh>
    <phoneticPr fontId="3"/>
  </si>
  <si>
    <t>内　訳　明　細　書　7</t>
    <rPh sb="0" eb="1">
      <t>ナイ</t>
    </rPh>
    <rPh sb="2" eb="3">
      <t>ワケ</t>
    </rPh>
    <rPh sb="4" eb="5">
      <t>メイ</t>
    </rPh>
    <rPh sb="6" eb="7">
      <t>ホソ</t>
    </rPh>
    <rPh sb="8" eb="9">
      <t>ショ</t>
    </rPh>
    <phoneticPr fontId="3"/>
  </si>
  <si>
    <t>7.　打換工　(橋梁部)</t>
    <rPh sb="3" eb="4">
      <t>ウ</t>
    </rPh>
    <rPh sb="4" eb="5">
      <t>カ</t>
    </rPh>
    <rPh sb="5" eb="6">
      <t>コウ</t>
    </rPh>
    <rPh sb="8" eb="11">
      <t>キョウリョウブ</t>
    </rPh>
    <phoneticPr fontId="3"/>
  </si>
  <si>
    <t>職長1　4.0AF1　4ｔCVR1</t>
    <rPh sb="0" eb="2">
      <t>ショクチョウ</t>
    </rPh>
    <phoneticPr fontId="3"/>
  </si>
  <si>
    <t>誘導監視員含む</t>
    <rPh sb="0" eb="2">
      <t>ユウドウ</t>
    </rPh>
    <rPh sb="2" eb="4">
      <t>カンシ</t>
    </rPh>
    <rPh sb="4" eb="5">
      <t>イン</t>
    </rPh>
    <rPh sb="5" eb="6">
      <t>フク</t>
    </rPh>
    <phoneticPr fontId="3"/>
  </si>
  <si>
    <t>清掃　はつり　転圧機械　</t>
    <rPh sb="0" eb="2">
      <t>セイソウ</t>
    </rPh>
    <rPh sb="7" eb="9">
      <t>テンアツ</t>
    </rPh>
    <rPh sb="9" eb="11">
      <t>キカイ</t>
    </rPh>
    <phoneticPr fontId="3"/>
  </si>
  <si>
    <t>0.25BH　0.15BH　4.0AF　4ｔCVR</t>
    <phoneticPr fontId="3"/>
  </si>
  <si>
    <t>7.　【合計】</t>
    <rPh sb="4" eb="6">
      <t>ゴウケイ</t>
    </rPh>
    <phoneticPr fontId="3"/>
  </si>
  <si>
    <t>内　訳　明　細　書　8</t>
    <rPh sb="0" eb="1">
      <t>ナイ</t>
    </rPh>
    <rPh sb="2" eb="3">
      <t>ワケ</t>
    </rPh>
    <rPh sb="4" eb="5">
      <t>メイ</t>
    </rPh>
    <rPh sb="6" eb="7">
      <t>ホソ</t>
    </rPh>
    <rPh sb="8" eb="9">
      <t>ショ</t>
    </rPh>
    <phoneticPr fontId="3"/>
  </si>
  <si>
    <t>8.　打換工　(橋梁部)</t>
    <rPh sb="3" eb="4">
      <t>ウ</t>
    </rPh>
    <rPh sb="4" eb="5">
      <t>カ</t>
    </rPh>
    <rPh sb="5" eb="6">
      <t>コウ</t>
    </rPh>
    <rPh sb="8" eb="11">
      <t>キョウリョウブ</t>
    </rPh>
    <phoneticPr fontId="3"/>
  </si>
  <si>
    <t>夜間施工　19：00～翌5：00　地覆部</t>
    <rPh sb="0" eb="2">
      <t>ヤカン</t>
    </rPh>
    <rPh sb="2" eb="4">
      <t>セコウ</t>
    </rPh>
    <rPh sb="11" eb="12">
      <t>ヨク</t>
    </rPh>
    <rPh sb="17" eb="20">
      <t>ジフクブ</t>
    </rPh>
    <phoneticPr fontId="3"/>
  </si>
  <si>
    <t>職長1　0.25BH1　0.15BH1</t>
    <rPh sb="0" eb="2">
      <t>ショクチョウ</t>
    </rPh>
    <phoneticPr fontId="3"/>
  </si>
  <si>
    <t>8.　【合計】</t>
    <rPh sb="4" eb="6">
      <t>ゴウケイ</t>
    </rPh>
    <phoneticPr fontId="3"/>
  </si>
  <si>
    <t>内　訳　明　細　書　9</t>
    <rPh sb="0" eb="1">
      <t>ナイ</t>
    </rPh>
    <rPh sb="2" eb="3">
      <t>ワケ</t>
    </rPh>
    <rPh sb="4" eb="5">
      <t>メイ</t>
    </rPh>
    <rPh sb="6" eb="7">
      <t>ホソ</t>
    </rPh>
    <rPh sb="8" eb="9">
      <t>ショ</t>
    </rPh>
    <phoneticPr fontId="3"/>
  </si>
  <si>
    <t>9.　事前調査　夜間</t>
    <rPh sb="3" eb="7">
      <t>ジゼンチョウサ</t>
    </rPh>
    <rPh sb="8" eb="10">
      <t>ヤカン</t>
    </rPh>
    <phoneticPr fontId="3"/>
  </si>
  <si>
    <t>19：00～翌5：00</t>
    <rPh sb="6" eb="7">
      <t>ヨク</t>
    </rPh>
    <phoneticPr fontId="3"/>
  </si>
  <si>
    <t>発電機　電動ピック　コアカッター　吸水機</t>
    <rPh sb="0" eb="3">
      <t>ハツデンキ</t>
    </rPh>
    <rPh sb="4" eb="6">
      <t>デンドウ</t>
    </rPh>
    <rPh sb="17" eb="20">
      <t>キュウスイキ</t>
    </rPh>
    <phoneticPr fontId="3"/>
  </si>
  <si>
    <t>パワーゲート車</t>
    <rPh sb="6" eb="7">
      <t>クルマ</t>
    </rPh>
    <phoneticPr fontId="3"/>
  </si>
  <si>
    <t>9.　【合計】</t>
    <rPh sb="4" eb="6">
      <t>ゴウケイ</t>
    </rPh>
    <phoneticPr fontId="3"/>
  </si>
  <si>
    <t>内　訳　明　細　書　10</t>
    <rPh sb="0" eb="1">
      <t>ナイ</t>
    </rPh>
    <rPh sb="2" eb="3">
      <t>ワケ</t>
    </rPh>
    <rPh sb="4" eb="5">
      <t>メイ</t>
    </rPh>
    <rPh sb="6" eb="7">
      <t>ホソ</t>
    </rPh>
    <rPh sb="8" eb="9">
      <t>ショ</t>
    </rPh>
    <phoneticPr fontId="3"/>
  </si>
  <si>
    <t>10.　事前調査　昼間</t>
    <rPh sb="4" eb="8">
      <t>ジゼンチョウサ</t>
    </rPh>
    <rPh sb="9" eb="11">
      <t>ヒルマ</t>
    </rPh>
    <phoneticPr fontId="3"/>
  </si>
  <si>
    <t>8：00～17：00</t>
    <phoneticPr fontId="3"/>
  </si>
  <si>
    <t>10.　【合計】</t>
    <rPh sb="5" eb="7">
      <t>ゴウケイ</t>
    </rPh>
    <phoneticPr fontId="3"/>
  </si>
  <si>
    <t>散水車の費用は含まれております。</t>
    <rPh sb="0" eb="3">
      <t>サンスイシャ</t>
    </rPh>
    <rPh sb="4" eb="6">
      <t>ヒヨウ</t>
    </rPh>
    <rPh sb="7" eb="8">
      <t>フク</t>
    </rPh>
    <phoneticPr fontId="3"/>
  </si>
  <si>
    <t>はつりガラの汚泥を一旦、濁水処理施設にの費用は含みませんが準備等は無償でご協力いたします。</t>
    <rPh sb="6" eb="8">
      <t>オデイ</t>
    </rPh>
    <rPh sb="9" eb="11">
      <t>イッタン</t>
    </rPh>
    <rPh sb="12" eb="18">
      <t>ダクスイショリシセツ</t>
    </rPh>
    <rPh sb="20" eb="22">
      <t>ヒヨウ</t>
    </rPh>
    <rPh sb="23" eb="24">
      <t>フク</t>
    </rPh>
    <rPh sb="29" eb="32">
      <t>ジュンビトウ</t>
    </rPh>
    <rPh sb="33" eb="35">
      <t>ムショウ</t>
    </rPh>
    <rPh sb="37" eb="39">
      <t>キョウリョク</t>
    </rPh>
    <phoneticPr fontId="3"/>
  </si>
  <si>
    <t>昼間施工　08：00～17：00　舗装のみ</t>
    <rPh sb="0" eb="2">
      <t>ヒルマ</t>
    </rPh>
    <rPh sb="2" eb="4">
      <t>セコウ</t>
    </rPh>
    <rPh sb="17" eb="19">
      <t>ホソウ</t>
    </rPh>
    <phoneticPr fontId="3"/>
  </si>
  <si>
    <t>「PDジェット・スラブ」はNEXCO構造物施工管理要領 床版上面における断面修復材規格適合品です。</t>
    <phoneticPr fontId="3"/>
  </si>
  <si>
    <t>「PDジェットスラブ（13）ベースパック：練上り約150L/set、ミニパック：練上り約21L/set」</t>
    <phoneticPr fontId="3"/>
  </si>
  <si>
    <t>「PDプライマー」「PDボンド」共にNEXCO構造物施工管理要領 鉄筋防錆材規格適合品です。</t>
    <phoneticPr fontId="3"/>
  </si>
  <si>
    <t>WJ打の場台はPDプライマーの塗布は必要ありませんが、手研の場合はPDプライマーの塗布が必要です。</t>
    <phoneticPr fontId="3"/>
  </si>
  <si>
    <t>（WJ研の場合：PDプライマー無し＋PDボンド1.2kg/m2、手研の場合はプライマー0.5kg/m2＋PDボンド0.8kg/m2）</t>
    <phoneticPr fontId="3"/>
  </si>
  <si>
    <t>遅延剤添加量は気温により添加量を変化致します。ベースパック（60〜550g/セット）、ミニパック（8〜70g/セット）</t>
    <phoneticPr fontId="3"/>
  </si>
  <si>
    <t>PDジェットスラブ（13）ミニパック</t>
    <phoneticPr fontId="3"/>
  </si>
  <si>
    <t>中型2台(材料・ミキサー)　作業車1台　</t>
    <rPh sb="0" eb="2">
      <t>チュウガタ</t>
    </rPh>
    <rPh sb="3" eb="4">
      <t>ダイ</t>
    </rPh>
    <rPh sb="5" eb="7">
      <t>ザイリョウ</t>
    </rPh>
    <rPh sb="14" eb="17">
      <t>サギョウシャ</t>
    </rPh>
    <rPh sb="18" eb="19">
      <t>ダイ</t>
    </rPh>
    <phoneticPr fontId="3"/>
  </si>
  <si>
    <t>床版はつり工</t>
    <rPh sb="5" eb="6">
      <t>コウ</t>
    </rPh>
    <phoneticPr fontId="3"/>
  </si>
  <si>
    <t>床版補修工(左官)</t>
    <rPh sb="2" eb="4">
      <t>ホシュウ</t>
    </rPh>
    <rPh sb="4" eb="5">
      <t>コウ</t>
    </rPh>
    <rPh sb="6" eb="8">
      <t>サカン</t>
    </rPh>
    <phoneticPr fontId="3"/>
  </si>
  <si>
    <t>単価見積</t>
    <rPh sb="0" eb="4">
      <t>タンカミツモリ</t>
    </rPh>
    <phoneticPr fontId="3"/>
  </si>
  <si>
    <t>施工範囲内において障害物等撤去移設され連続作業可能な状態での作業とします。</t>
    <phoneticPr fontId="3"/>
  </si>
  <si>
    <t>資材置場、作業用車両駐車場の無償支給お願いします。</t>
    <phoneticPr fontId="3"/>
  </si>
  <si>
    <t>項目にないものは別途協議願います。</t>
    <phoneticPr fontId="3"/>
  </si>
  <si>
    <t>施　工　条　件　書　3</t>
    <rPh sb="0" eb="1">
      <t>シ</t>
    </rPh>
    <rPh sb="2" eb="3">
      <t>コウ</t>
    </rPh>
    <rPh sb="4" eb="5">
      <t>ジョウ</t>
    </rPh>
    <rPh sb="6" eb="7">
      <t>ケン</t>
    </rPh>
    <rPh sb="8" eb="9">
      <t>ショ</t>
    </rPh>
    <phoneticPr fontId="3"/>
  </si>
  <si>
    <t>施　工　条　件　書　4</t>
    <rPh sb="0" eb="1">
      <t>シ</t>
    </rPh>
    <rPh sb="2" eb="3">
      <t>コウ</t>
    </rPh>
    <rPh sb="4" eb="5">
      <t>ジョウ</t>
    </rPh>
    <rPh sb="6" eb="7">
      <t>ケン</t>
    </rPh>
    <rPh sb="8" eb="9">
      <t>ショ</t>
    </rPh>
    <phoneticPr fontId="3"/>
  </si>
  <si>
    <t>内　訳　明　細　書 　2</t>
    <rPh sb="0" eb="1">
      <t>ナイ</t>
    </rPh>
    <rPh sb="2" eb="3">
      <t>ワケ</t>
    </rPh>
    <rPh sb="4" eb="5">
      <t>メイ</t>
    </rPh>
    <rPh sb="6" eb="7">
      <t>ホソ</t>
    </rPh>
    <rPh sb="8" eb="9">
      <t>ショ</t>
    </rPh>
    <phoneticPr fontId="3"/>
  </si>
  <si>
    <t>本見積りは実施工時間が8時間確保できる条件に対する御見積りです、夜間、規制等で作業時間が限られる場合は割増となりますのでご了承願います。</t>
    <rPh sb="0" eb="1">
      <t>モト</t>
    </rPh>
    <rPh sb="1" eb="3">
      <t>ミツモ</t>
    </rPh>
    <rPh sb="5" eb="6">
      <t>ジツ</t>
    </rPh>
    <rPh sb="6" eb="8">
      <t>セコウ</t>
    </rPh>
    <rPh sb="8" eb="10">
      <t>ジカン</t>
    </rPh>
    <rPh sb="12" eb="14">
      <t>ジカン</t>
    </rPh>
    <rPh sb="14" eb="16">
      <t>カクホ</t>
    </rPh>
    <rPh sb="19" eb="21">
      <t>ジョウケン</t>
    </rPh>
    <rPh sb="22" eb="23">
      <t>タイ</t>
    </rPh>
    <rPh sb="25" eb="28">
      <t>オミツモ</t>
    </rPh>
    <rPh sb="32" eb="34">
      <t>ヤカン</t>
    </rPh>
    <rPh sb="35" eb="37">
      <t>キセイ</t>
    </rPh>
    <rPh sb="37" eb="38">
      <t>トウ</t>
    </rPh>
    <rPh sb="39" eb="41">
      <t>サギョウ</t>
    </rPh>
    <rPh sb="41" eb="43">
      <t>ジカン</t>
    </rPh>
    <rPh sb="44" eb="45">
      <t>カギ</t>
    </rPh>
    <rPh sb="48" eb="50">
      <t>バアイ</t>
    </rPh>
    <rPh sb="51" eb="53">
      <t>ワリマシ</t>
    </rPh>
    <rPh sb="61" eb="64">
      <t>リョウショウネガ</t>
    </rPh>
    <phoneticPr fontId="3"/>
  </si>
  <si>
    <t>工事車両及び資機材は、ヤード内における条件での御見積りとなっております　規制等で移動がある場合は、車両置き場の確保をお願い致します。</t>
    <rPh sb="0" eb="2">
      <t>コウジ</t>
    </rPh>
    <rPh sb="2" eb="4">
      <t>シャリョウ</t>
    </rPh>
    <rPh sb="4" eb="5">
      <t>オヨ</t>
    </rPh>
    <rPh sb="6" eb="9">
      <t>シキザイ</t>
    </rPh>
    <rPh sb="14" eb="15">
      <t>ナイ</t>
    </rPh>
    <rPh sb="19" eb="21">
      <t>ジョウケン</t>
    </rPh>
    <rPh sb="23" eb="26">
      <t>オミツモ</t>
    </rPh>
    <rPh sb="36" eb="38">
      <t>キセイ</t>
    </rPh>
    <rPh sb="38" eb="39">
      <t>トウ</t>
    </rPh>
    <rPh sb="40" eb="42">
      <t>イドウ</t>
    </rPh>
    <rPh sb="45" eb="47">
      <t>バアイ</t>
    </rPh>
    <rPh sb="49" eb="51">
      <t>シャリョウ</t>
    </rPh>
    <rPh sb="51" eb="52">
      <t>オ</t>
    </rPh>
    <rPh sb="53" eb="54">
      <t>バ</t>
    </rPh>
    <rPh sb="55" eb="57">
      <t>カクホ</t>
    </rPh>
    <rPh sb="59" eb="60">
      <t>ネガ</t>
    </rPh>
    <rPh sb="61" eb="62">
      <t>イタ</t>
    </rPh>
    <phoneticPr fontId="3"/>
  </si>
  <si>
    <t>はつり処理面にはフェザーエッジ対策として既設コンクリートとの境界に1ｃｍ程度のカッター処理を行います、施工範囲の墨出し防錆処理等は含まれておりません。</t>
    <phoneticPr fontId="3"/>
  </si>
  <si>
    <t>はつりガラ、養生等の廃棄物は同現場内の集積場所まで運搬します、処理場への収集運搬及び処分費は含んでおりません。</t>
    <phoneticPr fontId="3"/>
  </si>
  <si>
    <t>現場近隣に排水処理に必要な排水タンク3基（10ｍ3）水中ポンプ（5～10台）撹拌用水中ポンプ（3台）仮設電源のご支給願います。　</t>
    <rPh sb="0" eb="2">
      <t>ゲンバ</t>
    </rPh>
    <rPh sb="2" eb="4">
      <t>キンリン</t>
    </rPh>
    <rPh sb="5" eb="7">
      <t>ハイスイ</t>
    </rPh>
    <rPh sb="7" eb="9">
      <t>ショリ</t>
    </rPh>
    <rPh sb="10" eb="12">
      <t>ヒツヨウ</t>
    </rPh>
    <rPh sb="13" eb="15">
      <t>ハイスイ</t>
    </rPh>
    <rPh sb="19" eb="20">
      <t>キ</t>
    </rPh>
    <rPh sb="26" eb="28">
      <t>スイチュウ</t>
    </rPh>
    <rPh sb="36" eb="37">
      <t>ダイ</t>
    </rPh>
    <rPh sb="38" eb="40">
      <t>カクハン</t>
    </rPh>
    <rPh sb="40" eb="41">
      <t>ヨウ</t>
    </rPh>
    <rPh sb="41" eb="43">
      <t>スイチュウ</t>
    </rPh>
    <rPh sb="48" eb="49">
      <t>ダイ</t>
    </rPh>
    <rPh sb="50" eb="52">
      <t>カセツ</t>
    </rPh>
    <rPh sb="52" eb="54">
      <t>デンゲン</t>
    </rPh>
    <rPh sb="56" eb="59">
      <t>シキュウネガ</t>
    </rPh>
    <phoneticPr fontId="3"/>
  </si>
  <si>
    <t>施工排水は水槽に貯留後、PH、濁度調整を行い上澄み水は現調放流とさせて頂きます、尚汚泥等の処分費は含んでおりません。</t>
    <phoneticPr fontId="3"/>
  </si>
  <si>
    <t>WJ表面処理の対象物はコンクリート素地としております。塗膜等ありましたら再見積りとさせていただきます。</t>
    <phoneticPr fontId="3"/>
  </si>
  <si>
    <t>WJ表面処理の治具が入らない等処理ができない場合は、ディスクサンダーやワイヤブラシでのケレンとなりますのでご了承願います。</t>
    <phoneticPr fontId="3"/>
  </si>
  <si>
    <t>仮設足場（移動式足場）は含まれておりません、ご支給願います。</t>
    <phoneticPr fontId="3"/>
  </si>
  <si>
    <t>数量、条件等に変更が生じた場合はお互いの協議の上変更等の対応をお願いします。</t>
    <phoneticPr fontId="3"/>
  </si>
  <si>
    <t>品質管理費を含んだ金額とします。</t>
    <rPh sb="0" eb="2">
      <t>ヒンシツ</t>
    </rPh>
    <rPh sb="2" eb="4">
      <t>カンリ</t>
    </rPh>
    <rPh sb="4" eb="5">
      <t>ヒ</t>
    </rPh>
    <phoneticPr fontId="3"/>
  </si>
  <si>
    <t>コンクリート試験費は含まれておりません。(ポータブル圧縮試験機の準備はございますので別途見積)</t>
    <rPh sb="6" eb="8">
      <t>シケン</t>
    </rPh>
    <rPh sb="8" eb="9">
      <t>ヒ</t>
    </rPh>
    <rPh sb="10" eb="11">
      <t>フク</t>
    </rPh>
    <rPh sb="26" eb="28">
      <t>アッシュク</t>
    </rPh>
    <rPh sb="28" eb="31">
      <t>シケンキ</t>
    </rPh>
    <rPh sb="32" eb="34">
      <t>ジュンビ</t>
    </rPh>
    <rPh sb="42" eb="44">
      <t>ベット</t>
    </rPh>
    <rPh sb="44" eb="46">
      <t>ミツモリ</t>
    </rPh>
    <phoneticPr fontId="3"/>
  </si>
  <si>
    <t>広島自動車道（特定更新等）烏帽子第三橋他1橋床版取替工事</t>
    <phoneticPr fontId="3"/>
  </si>
  <si>
    <t xml:space="preserve">広島自動車道 </t>
    <phoneticPr fontId="3"/>
  </si>
  <si>
    <t>L</t>
    <phoneticPr fontId="3"/>
  </si>
  <si>
    <t>福岡～広島　往復　</t>
    <rPh sb="3" eb="5">
      <t>ヒロシマ</t>
    </rPh>
    <phoneticPr fontId="3"/>
  </si>
  <si>
    <t>床版はつりA　鳥帽子第三橋（上り）</t>
    <rPh sb="0" eb="2">
      <t>ショウバン</t>
    </rPh>
    <phoneticPr fontId="3"/>
  </si>
  <si>
    <t>床版はつりB　鳥帽子第三橋（上り）</t>
    <rPh sb="0" eb="2">
      <t>ショウバン</t>
    </rPh>
    <phoneticPr fontId="3"/>
  </si>
  <si>
    <t>床版防水工B2</t>
    <rPh sb="0" eb="5">
      <t>ショウバンボウスイコウ</t>
    </rPh>
    <phoneticPr fontId="3"/>
  </si>
  <si>
    <t>床版防水工B1　研掃</t>
    <rPh sb="0" eb="2">
      <t>ショウバン</t>
    </rPh>
    <rPh sb="2" eb="4">
      <t>ボウスイ</t>
    </rPh>
    <rPh sb="4" eb="5">
      <t>コウ</t>
    </rPh>
    <rPh sb="8" eb="10">
      <t>ケンソウ</t>
    </rPh>
    <phoneticPr fontId="3"/>
  </si>
  <si>
    <t>床版防水工B1　</t>
    <rPh sb="0" eb="5">
      <t>ショウバンボウスイコウ</t>
    </rPh>
    <phoneticPr fontId="3"/>
  </si>
  <si>
    <t>投射密度50㎏/ｍ2　巾1.0</t>
    <rPh sb="0" eb="4">
      <t>トウシャミツド</t>
    </rPh>
    <rPh sb="11" eb="12">
      <t>ハバ</t>
    </rPh>
    <phoneticPr fontId="3"/>
  </si>
  <si>
    <t>200～220Mpa</t>
    <phoneticPr fontId="3"/>
  </si>
  <si>
    <t>ショットブラスト</t>
    <phoneticPr fontId="3"/>
  </si>
  <si>
    <t>スピンジェット</t>
    <phoneticPr fontId="3"/>
  </si>
  <si>
    <t>コンクリートハツリ 雲田橋（上り）</t>
    <phoneticPr fontId="3"/>
  </si>
  <si>
    <t>t=8㎝ フェーザーエッジ対策</t>
    <rPh sb="13" eb="15">
      <t>タイサク</t>
    </rPh>
    <phoneticPr fontId="3"/>
  </si>
  <si>
    <t>t=5㎝ フェーザーエッジ対策</t>
    <rPh sb="13" eb="15">
      <t>タイサク</t>
    </rPh>
    <phoneticPr fontId="3"/>
  </si>
  <si>
    <t>t=15㎝</t>
    <phoneticPr fontId="3"/>
  </si>
  <si>
    <t>WJロボ</t>
    <phoneticPr fontId="3"/>
  </si>
  <si>
    <t>打撃ハツリ</t>
    <rPh sb="0" eb="2">
      <t>ダゲキ</t>
    </rPh>
    <phoneticPr fontId="3"/>
  </si>
  <si>
    <t>WJ人力(ハンドガン)</t>
    <rPh sb="2" eb="4">
      <t>ジンリキ</t>
    </rPh>
    <phoneticPr fontId="3"/>
  </si>
  <si>
    <t>床版防水工 研掃</t>
    <rPh sb="0" eb="2">
      <t>ショウバン</t>
    </rPh>
    <rPh sb="2" eb="5">
      <t>ボウスイコウ</t>
    </rPh>
    <rPh sb="6" eb="8">
      <t>ケンソウ</t>
    </rPh>
    <phoneticPr fontId="3"/>
  </si>
  <si>
    <t>世紀東急工業 株式会社</t>
    <rPh sb="0" eb="6">
      <t>セイキトウキュウコウギョウ</t>
    </rPh>
    <rPh sb="7" eb="11">
      <t>カブシキガイシャ</t>
    </rPh>
    <phoneticPr fontId="3"/>
  </si>
  <si>
    <t>本見積りはコンクリート床版面を研掃工で施工する場合の見積もりです。</t>
    <rPh sb="0" eb="3">
      <t>ホンミツモ</t>
    </rPh>
    <rPh sb="11" eb="13">
      <t>ショウバン</t>
    </rPh>
    <rPh sb="13" eb="14">
      <t>メン</t>
    </rPh>
    <rPh sb="15" eb="17">
      <t>ケンソウ</t>
    </rPh>
    <rPh sb="17" eb="18">
      <t>コウ</t>
    </rPh>
    <rPh sb="19" eb="21">
      <t>セコウ</t>
    </rPh>
    <rPh sb="23" eb="25">
      <t>バアイ</t>
    </rPh>
    <rPh sb="26" eb="28">
      <t>ミツ</t>
    </rPh>
    <phoneticPr fontId="3"/>
  </si>
  <si>
    <t>本見積りはコンクリート床版面をWJはつり工法で施工する場合の見積もりです。</t>
    <rPh sb="0" eb="3">
      <t>ホンミツモ</t>
    </rPh>
    <rPh sb="11" eb="13">
      <t>ショウバン</t>
    </rPh>
    <rPh sb="13" eb="14">
      <t>メン</t>
    </rPh>
    <rPh sb="20" eb="22">
      <t>コウホウ</t>
    </rPh>
    <rPh sb="23" eb="25">
      <t>セコウ</t>
    </rPh>
    <rPh sb="27" eb="29">
      <t>バアイ</t>
    </rPh>
    <rPh sb="30" eb="32">
      <t>ミツ</t>
    </rPh>
    <phoneticPr fontId="3"/>
  </si>
  <si>
    <t>内　訳　明　細　書 　1</t>
    <rPh sb="0" eb="1">
      <t>ナイ</t>
    </rPh>
    <rPh sb="2" eb="3">
      <t>ワケ</t>
    </rPh>
    <rPh sb="4" eb="5">
      <t>メイ</t>
    </rPh>
    <rPh sb="6" eb="7">
      <t>ホソ</t>
    </rPh>
    <rPh sb="8" eb="9">
      <t>ショ</t>
    </rPh>
    <phoneticPr fontId="3"/>
  </si>
  <si>
    <t>施　工　条　件　書　1</t>
    <rPh sb="0" eb="1">
      <t>シ</t>
    </rPh>
    <rPh sb="2" eb="3">
      <t>コウ</t>
    </rPh>
    <rPh sb="4" eb="5">
      <t>ジョウ</t>
    </rPh>
    <rPh sb="6" eb="7">
      <t>ケン</t>
    </rPh>
    <rPh sb="8" eb="9">
      <t>ショ</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</si>
</sst>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yyyy&quot;年&quot;m&quot;月&quot;d&quot;日&quot;;@"/>
    <numFmt numFmtId="177" formatCode="[$-F800]dddd\,\ mmmm\ dd\,\ yyyy"/>
    <numFmt numFmtId="178" formatCode="&quot;¥&quot;#,###"/>
    <numFmt numFmtId="179" formatCode="&quot;¥&quot;#,###;[Red]#,###"/>
    <numFmt numFmtId="180" formatCode="0.0_ "/>
    <numFmt numFmtId="181" formatCode="#,##0_ "/>
    <numFmt numFmtId="182" formatCode="#,###"/>
    <numFmt numFmtId="183" formatCode="#,##0.0;[Red]\-#,##0.0"/>
    <numFmt numFmtId="184" formatCode="0.0%"/>
    <numFmt numFmtId="185" formatCode="0.0"/>
    <numFmt numFmtId="186" formatCode="0.000"/>
    <numFmt numFmtId="187" formatCode="#,##0.000;[Red]\-#,##0.000"/>
  </numFmts>
  <fonts count="42" x14ac:knownFonts="1">
    <font>
      <sz val="11"/>
      <color theme="1"/>
      <name val="游ゴシック"/>
      <family val="2"/>
      <charset val="128"/>
      <scheme val="minor"/>
    </font>
    <font>
      <sz val="11"/>
      <color theme="1"/>
      <name val="游ゴシック"/>
      <family val="2"/>
      <charset val="128"/>
      <scheme val="minor"/>
    </font>
    <font>
      <sz val="11"/>
      <color theme="1"/>
      <name val="HG丸ｺﾞｼｯｸM-PRO"/>
      <family val="3"/>
      <charset val="128"/>
    </font>
    <font>
      <sz val="6"/>
      <name val="游ゴシック"/>
      <family val="2"/>
      <charset val="128"/>
      <scheme val="minor"/>
    </font>
    <font>
      <b/>
      <sz val="11"/>
      <color theme="1"/>
      <name val="HG丸ｺﾞｼｯｸM-PRO"/>
      <family val="3"/>
      <charset val="128"/>
    </font>
    <font>
      <b/>
      <i/>
      <u val="double"/>
      <sz val="20"/>
      <color theme="1"/>
      <name val="HG丸ｺﾞｼｯｸM-PRO"/>
      <family val="3"/>
      <charset val="128"/>
    </font>
    <font>
      <b/>
      <sz val="18"/>
      <color theme="1"/>
      <name val="HG丸ｺﾞｼｯｸM-PRO"/>
      <family val="3"/>
      <charset val="128"/>
    </font>
    <font>
      <b/>
      <sz val="16"/>
      <color theme="1"/>
      <name val="HG丸ｺﾞｼｯｸM-PRO"/>
      <family val="3"/>
      <charset val="128"/>
    </font>
    <font>
      <sz val="11"/>
      <name val="ＭＳ Ｐゴシック"/>
      <family val="3"/>
      <charset val="128"/>
    </font>
    <font>
      <sz val="14"/>
      <name val="HG丸ｺﾞｼｯｸM-PRO"/>
      <family val="3"/>
      <charset val="128"/>
    </font>
    <font>
      <sz val="18"/>
      <color theme="1"/>
      <name val="HG丸ｺﾞｼｯｸM-PRO"/>
      <family val="3"/>
      <charset val="128"/>
    </font>
    <font>
      <sz val="8"/>
      <name val="HG丸ｺﾞｼｯｸM-PRO"/>
      <family val="3"/>
      <charset val="128"/>
    </font>
    <font>
      <b/>
      <sz val="22"/>
      <color rgb="FFFF0000"/>
      <name val="HG丸ｺﾞｼｯｸM-PRO"/>
      <family val="3"/>
      <charset val="128"/>
    </font>
    <font>
      <sz val="11"/>
      <color rgb="FFFF0000"/>
      <name val="HG丸ｺﾞｼｯｸM-PRO"/>
      <family val="3"/>
      <charset val="128"/>
    </font>
    <font>
      <b/>
      <sz val="12"/>
      <color rgb="FF002060"/>
      <name val="HG丸ｺﾞｼｯｸM-PRO"/>
      <family val="3"/>
      <charset val="128"/>
    </font>
    <font>
      <sz val="11"/>
      <name val="HG丸ｺﾞｼｯｸM-PRO"/>
      <family val="3"/>
      <charset val="128"/>
    </font>
    <font>
      <b/>
      <sz val="11"/>
      <color rgb="FF0070C0"/>
      <name val="HG丸ｺﾞｼｯｸM-PRO"/>
      <family val="3"/>
      <charset val="128"/>
    </font>
    <font>
      <b/>
      <sz val="11"/>
      <color rgb="FFFF0000"/>
      <name val="HG丸ｺﾞｼｯｸM-PRO"/>
      <family val="3"/>
      <charset val="128"/>
    </font>
    <font>
      <i/>
      <u/>
      <sz val="14"/>
      <color theme="1"/>
      <name val="游ゴシック"/>
      <family val="3"/>
      <charset val="128"/>
      <scheme val="minor"/>
    </font>
    <font>
      <b/>
      <sz val="11"/>
      <color rgb="FF0070C0"/>
      <name val="游ゴシック"/>
      <family val="3"/>
      <charset val="128"/>
      <scheme val="minor"/>
    </font>
    <font>
      <b/>
      <sz val="11"/>
      <color theme="1"/>
      <name val="游ゴシック"/>
      <family val="3"/>
      <charset val="128"/>
      <scheme val="minor"/>
    </font>
    <font>
      <sz val="10"/>
      <color theme="1"/>
      <name val="游ゴシック"/>
      <family val="2"/>
      <charset val="128"/>
      <scheme val="minor"/>
    </font>
    <font>
      <sz val="11"/>
      <name val="游ゴシック"/>
      <family val="2"/>
      <charset val="128"/>
      <scheme val="minor"/>
    </font>
    <font>
      <sz val="11"/>
      <color theme="0"/>
      <name val="游ゴシック"/>
      <family val="3"/>
      <charset val="128"/>
      <scheme val="minor"/>
    </font>
    <font>
      <sz val="11"/>
      <color theme="1"/>
      <name val="游ゴシック"/>
      <family val="3"/>
      <charset val="128"/>
      <scheme val="minor"/>
    </font>
    <font>
      <sz val="12"/>
      <color theme="1"/>
      <name val="游ゴシック"/>
      <family val="3"/>
      <charset val="128"/>
      <scheme val="minor"/>
    </font>
    <font>
      <b/>
      <sz val="12"/>
      <color theme="1"/>
      <name val="游ゴシック"/>
      <family val="3"/>
      <charset val="128"/>
      <scheme val="minor"/>
    </font>
    <font>
      <b/>
      <i/>
      <u/>
      <sz val="14"/>
      <color theme="1"/>
      <name val="游ゴシック"/>
      <family val="3"/>
      <charset val="128"/>
      <scheme val="minor"/>
    </font>
    <font>
      <sz val="11"/>
      <color rgb="FF0070C0"/>
      <name val="游ゴシック"/>
      <family val="2"/>
      <charset val="128"/>
      <scheme val="minor"/>
    </font>
    <font>
      <b/>
      <sz val="10"/>
      <color theme="1"/>
      <name val="游ゴシック"/>
      <family val="3"/>
      <charset val="128"/>
      <scheme val="minor"/>
    </font>
    <font>
      <b/>
      <i/>
      <u/>
      <sz val="18"/>
      <color theme="1"/>
      <name val="游ゴシック"/>
      <family val="3"/>
      <charset val="128"/>
      <scheme val="minor"/>
    </font>
    <font>
      <b/>
      <sz val="11"/>
      <name val="游ゴシック"/>
      <family val="3"/>
      <charset val="128"/>
      <scheme val="minor"/>
    </font>
    <font>
      <sz val="10"/>
      <color theme="1"/>
      <name val="游ゴシック"/>
      <family val="3"/>
      <charset val="128"/>
      <scheme val="minor"/>
    </font>
    <font>
      <sz val="11"/>
      <name val="游ゴシック"/>
      <family val="3"/>
      <charset val="128"/>
      <scheme val="minor"/>
    </font>
    <font>
      <sz val="9.5"/>
      <color theme="1"/>
      <name val="游ゴシック"/>
      <family val="2"/>
      <charset val="128"/>
      <scheme val="minor"/>
    </font>
    <font>
      <sz val="8"/>
      <color theme="1"/>
      <name val="游ゴシック"/>
      <family val="2"/>
      <charset val="128"/>
      <scheme val="minor"/>
    </font>
    <font>
      <sz val="9"/>
      <color theme="1"/>
      <name val="游ゴシック"/>
      <family val="2"/>
      <charset val="128"/>
      <scheme val="minor"/>
    </font>
    <font>
      <b/>
      <sz val="14"/>
      <color rgb="FFFF0000"/>
      <name val="游ゴシック"/>
      <family val="3"/>
      <charset val="128"/>
      <scheme val="minor"/>
    </font>
    <font>
      <b/>
      <sz val="16"/>
      <color rgb="FFFF0000"/>
      <name val="游ゴシック"/>
      <family val="3"/>
      <charset val="128"/>
      <scheme val="minor"/>
    </font>
    <font>
      <sz val="6.5"/>
      <color theme="1"/>
      <name val="游ゴシック"/>
      <family val="2"/>
      <charset val="128"/>
      <scheme val="minor"/>
    </font>
    <font>
      <sz val="8"/>
      <color theme="1"/>
      <name val="游ゴシック"/>
      <family val="3"/>
      <charset val="128"/>
      <scheme val="minor"/>
    </font>
    <font>
      <b/>
      <sz val="14"/>
      <name val="游ゴシック"/>
      <family val="3"/>
      <charset val="128"/>
      <scheme val="minor"/>
    </font>
  </fonts>
  <fills count="6">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F9900"/>
        <bgColor indexed="64"/>
      </patternFill>
    </fill>
  </fills>
  <borders count="81">
    <border>
      <left/>
      <right/>
      <top/>
      <bottom/>
      <diagonal/>
    </border>
    <border>
      <left/>
      <right/>
      <top/>
      <bottom style="medium">
        <color indexed="64"/>
      </bottom>
      <diagonal/>
    </border>
    <border>
      <left/>
      <right/>
      <top style="medium">
        <color indexed="64"/>
      </top>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double">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hair">
        <color indexed="64"/>
      </left>
      <right style="thin">
        <color indexed="64"/>
      </right>
      <top style="hair">
        <color indexed="64"/>
      </top>
      <bottom style="double">
        <color indexed="64"/>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right style="thin">
        <color indexed="64"/>
      </right>
      <top style="hair">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right/>
      <top style="thick">
        <color indexed="64"/>
      </top>
      <bottom style="thick">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right style="hair">
        <color indexed="64"/>
      </right>
      <top style="thin">
        <color indexed="64"/>
      </top>
      <bottom style="double">
        <color indexed="64"/>
      </bottom>
      <diagonal/>
    </border>
    <border>
      <left style="hair">
        <color indexed="64"/>
      </left>
      <right style="thin">
        <color indexed="64"/>
      </right>
      <top style="double">
        <color indexed="64"/>
      </top>
      <bottom style="hair">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style="hair">
        <color indexed="64"/>
      </right>
      <top/>
      <bottom style="thin">
        <color indexed="64"/>
      </bottom>
      <diagonal/>
    </border>
    <border>
      <left/>
      <right style="hair">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hair">
        <color indexed="64"/>
      </right>
      <top style="medium">
        <color indexed="64"/>
      </top>
      <bottom style="double">
        <color indexed="64"/>
      </bottom>
      <diagonal/>
    </border>
    <border>
      <left style="hair">
        <color indexed="64"/>
      </left>
      <right style="thin">
        <color indexed="64"/>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medium">
        <color indexed="64"/>
      </left>
      <right style="hair">
        <color indexed="64"/>
      </right>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right style="medium">
        <color indexed="64"/>
      </right>
      <top/>
      <bottom/>
      <diagonal/>
    </border>
    <border>
      <left style="medium">
        <color indexed="64"/>
      </left>
      <right style="hair">
        <color indexed="64"/>
      </right>
      <top/>
      <bottom style="medium">
        <color indexed="64"/>
      </bottom>
      <diagonal/>
    </border>
    <border>
      <left style="hair">
        <color indexed="64"/>
      </left>
      <right style="thin">
        <color indexed="64"/>
      </right>
      <top/>
      <bottom style="medium">
        <color indexed="64"/>
      </bottom>
      <diagonal/>
    </border>
    <border>
      <left style="thin">
        <color indexed="64"/>
      </left>
      <right style="hair">
        <color indexed="64"/>
      </right>
      <top/>
      <bottom style="medium">
        <color indexed="64"/>
      </bottom>
      <diagonal/>
    </border>
    <border>
      <left style="hair">
        <color indexed="64"/>
      </left>
      <right style="hair">
        <color indexed="64"/>
      </right>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s>
  <cellStyleXfs count="5">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8" fillId="0" borderId="0"/>
    <xf numFmtId="0" fontId="8" fillId="0" borderId="0"/>
  </cellStyleXfs>
  <cellXfs count="326">
    <xf numFmtId="0" fontId="0" fillId="0" borderId="0" xfId="0">
      <alignment vertical="center"/>
    </xf>
    <xf numFmtId="0" fontId="2" fillId="0" borderId="0" xfId="0" applyFont="1" applyAlignment="1">
      <alignment vertical="center" shrinkToFit="1"/>
    </xf>
    <xf numFmtId="176" fontId="2" fillId="0" borderId="0" xfId="0" applyNumberFormat="1" applyFont="1" applyAlignment="1">
      <alignment vertical="center" shrinkToFit="1"/>
    </xf>
    <xf numFmtId="0" fontId="5" fillId="0" borderId="0" xfId="0" applyFont="1" applyAlignment="1">
      <alignment vertical="center" shrinkToFit="1"/>
    </xf>
    <xf numFmtId="0" fontId="9" fillId="0" borderId="0" xfId="3" applyFont="1"/>
    <xf numFmtId="0" fontId="2" fillId="0" borderId="2" xfId="0" applyFont="1" applyBorder="1" applyAlignment="1">
      <alignment vertical="center" shrinkToFit="1"/>
    </xf>
    <xf numFmtId="0" fontId="10" fillId="0" borderId="0" xfId="0" applyFont="1" applyAlignment="1">
      <alignment vertical="center" shrinkToFit="1"/>
    </xf>
    <xf numFmtId="0" fontId="11" fillId="0" borderId="0" xfId="3" applyFont="1" applyAlignment="1">
      <alignment wrapText="1"/>
    </xf>
    <xf numFmtId="0" fontId="12" fillId="0" borderId="0" xfId="0" applyFont="1" applyAlignment="1">
      <alignment horizontal="center" vertical="center"/>
    </xf>
    <xf numFmtId="0" fontId="2" fillId="0" borderId="4" xfId="0" applyFont="1" applyBorder="1" applyAlignment="1">
      <alignment vertical="center" shrinkToFit="1"/>
    </xf>
    <xf numFmtId="0" fontId="11" fillId="0" borderId="0" xfId="3" applyFont="1" applyAlignment="1">
      <alignment vertical="center" wrapText="1"/>
    </xf>
    <xf numFmtId="0" fontId="12" fillId="0" borderId="0" xfId="0" applyFont="1" applyAlignment="1">
      <alignment horizontal="center" vertical="center" shrinkToFit="1"/>
    </xf>
    <xf numFmtId="0" fontId="2" fillId="0" borderId="0" xfId="0" applyFont="1">
      <alignment vertical="center"/>
    </xf>
    <xf numFmtId="0" fontId="2" fillId="0" borderId="0" xfId="0" applyFont="1" applyAlignment="1">
      <alignment horizontal="center" vertical="center" shrinkToFit="1"/>
    </xf>
    <xf numFmtId="0" fontId="0" fillId="2" borderId="37" xfId="0" applyFill="1" applyBorder="1" applyAlignment="1">
      <alignment horizontal="center" vertical="center"/>
    </xf>
    <xf numFmtId="38" fontId="0" fillId="2" borderId="37" xfId="1" applyFont="1" applyFill="1" applyBorder="1" applyAlignment="1">
      <alignment horizontal="center" vertical="center"/>
    </xf>
    <xf numFmtId="0" fontId="20" fillId="0" borderId="37" xfId="0" applyFont="1" applyBorder="1">
      <alignment vertical="center"/>
    </xf>
    <xf numFmtId="0" fontId="0" fillId="0" borderId="37" xfId="0" applyBorder="1">
      <alignment vertical="center"/>
    </xf>
    <xf numFmtId="38" fontId="0" fillId="0" borderId="37" xfId="1" applyFont="1" applyBorder="1">
      <alignment vertical="center"/>
    </xf>
    <xf numFmtId="0" fontId="0" fillId="0" borderId="37" xfId="0" applyBorder="1" applyAlignment="1">
      <alignment horizontal="center" vertical="center"/>
    </xf>
    <xf numFmtId="0" fontId="0" fillId="0" borderId="37" xfId="0" applyBorder="1" applyAlignment="1">
      <alignment horizontal="left" vertical="center" indent="1"/>
    </xf>
    <xf numFmtId="0" fontId="21" fillId="0" borderId="37" xfId="0" applyFont="1" applyBorder="1">
      <alignment vertical="center"/>
    </xf>
    <xf numFmtId="185" fontId="0" fillId="0" borderId="37" xfId="0" applyNumberFormat="1" applyBorder="1" applyAlignment="1">
      <alignment horizontal="center" vertical="center"/>
    </xf>
    <xf numFmtId="38" fontId="0" fillId="0" borderId="37" xfId="1" applyFont="1" applyBorder="1" applyAlignment="1">
      <alignment horizontal="center" vertical="center"/>
    </xf>
    <xf numFmtId="38" fontId="22" fillId="0" borderId="37" xfId="1" applyFont="1" applyBorder="1">
      <alignment vertical="center"/>
    </xf>
    <xf numFmtId="186" fontId="0" fillId="0" borderId="37" xfId="0" applyNumberFormat="1" applyBorder="1" applyAlignment="1">
      <alignment horizontal="center" vertical="center"/>
    </xf>
    <xf numFmtId="38" fontId="0" fillId="0" borderId="38" xfId="1" applyFont="1" applyBorder="1">
      <alignment vertical="center"/>
    </xf>
    <xf numFmtId="9" fontId="0" fillId="0" borderId="0" xfId="2" applyFont="1">
      <alignment vertical="center"/>
    </xf>
    <xf numFmtId="38" fontId="0" fillId="0" borderId="0" xfId="1" applyFont="1">
      <alignment vertical="center"/>
    </xf>
    <xf numFmtId="0" fontId="20" fillId="0" borderId="37" xfId="0" applyFont="1" applyBorder="1" applyAlignment="1">
      <alignment horizontal="center" vertical="center"/>
    </xf>
    <xf numFmtId="185" fontId="23" fillId="0" borderId="37" xfId="0" applyNumberFormat="1" applyFont="1" applyBorder="1" applyAlignment="1">
      <alignment horizontal="center" vertical="center"/>
    </xf>
    <xf numFmtId="38" fontId="23" fillId="0" borderId="37" xfId="1" applyFont="1" applyBorder="1" applyAlignment="1">
      <alignment horizontal="center" vertical="center"/>
    </xf>
    <xf numFmtId="0" fontId="0" fillId="3" borderId="37" xfId="0" applyFill="1" applyBorder="1" applyAlignment="1">
      <alignment horizontal="center" vertical="center"/>
    </xf>
    <xf numFmtId="38" fontId="0" fillId="3" borderId="37" xfId="1" applyFont="1" applyFill="1" applyBorder="1" applyAlignment="1">
      <alignment horizontal="center" vertical="center"/>
    </xf>
    <xf numFmtId="38" fontId="0" fillId="3" borderId="37" xfId="1" applyFont="1" applyFill="1" applyBorder="1">
      <alignment vertical="center"/>
    </xf>
    <xf numFmtId="0" fontId="0" fillId="0" borderId="37" xfId="0" applyBorder="1" applyAlignment="1">
      <alignment horizontal="right" vertical="center"/>
    </xf>
    <xf numFmtId="185" fontId="0" fillId="0" borderId="37" xfId="0" applyNumberFormat="1" applyBorder="1">
      <alignment vertical="center"/>
    </xf>
    <xf numFmtId="38" fontId="20" fillId="0" borderId="37" xfId="1" applyFont="1" applyBorder="1">
      <alignment vertical="center"/>
    </xf>
    <xf numFmtId="38" fontId="24" fillId="0" borderId="38" xfId="1" applyFont="1" applyBorder="1">
      <alignment vertical="center"/>
    </xf>
    <xf numFmtId="38" fontId="28" fillId="0" borderId="37" xfId="1" applyFont="1" applyBorder="1">
      <alignment vertical="center"/>
    </xf>
    <xf numFmtId="38" fontId="0" fillId="0" borderId="40" xfId="1" applyFont="1" applyBorder="1">
      <alignment vertical="center"/>
    </xf>
    <xf numFmtId="0" fontId="29" fillId="0" borderId="37" xfId="0" applyFont="1" applyBorder="1" applyAlignment="1">
      <alignment horizontal="center" vertical="center"/>
    </xf>
    <xf numFmtId="0" fontId="20" fillId="0" borderId="37" xfId="0" applyFont="1" applyBorder="1" applyAlignment="1">
      <alignment horizontal="left" vertical="center"/>
    </xf>
    <xf numFmtId="38" fontId="0" fillId="0" borderId="39" xfId="1" applyFont="1" applyBorder="1" applyAlignment="1">
      <alignment horizontal="center" vertical="center"/>
    </xf>
    <xf numFmtId="0" fontId="0" fillId="2" borderId="42" xfId="0" applyFill="1"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3" borderId="42" xfId="0" applyFill="1" applyBorder="1" applyAlignment="1">
      <alignment horizontal="center" vertical="center"/>
    </xf>
    <xf numFmtId="0" fontId="0" fillId="0" borderId="42" xfId="0" applyBorder="1">
      <alignment vertical="center"/>
    </xf>
    <xf numFmtId="0" fontId="32" fillId="0" borderId="0" xfId="0" applyFont="1" applyAlignment="1">
      <alignment horizontal="center" vertical="center" shrinkToFit="1"/>
    </xf>
    <xf numFmtId="38" fontId="33" fillId="3" borderId="37" xfId="1" applyFont="1" applyFill="1" applyBorder="1">
      <alignment vertical="center"/>
    </xf>
    <xf numFmtId="38" fontId="0" fillId="0" borderId="37" xfId="1" applyFont="1" applyBorder="1" applyAlignment="1">
      <alignment vertical="center"/>
    </xf>
    <xf numFmtId="38" fontId="22" fillId="0" borderId="37" xfId="1" applyFont="1" applyBorder="1" applyAlignment="1">
      <alignment vertical="center"/>
    </xf>
    <xf numFmtId="185" fontId="33" fillId="0" borderId="37" xfId="0" applyNumberFormat="1" applyFont="1" applyBorder="1" applyAlignment="1">
      <alignment horizontal="center" vertical="center"/>
    </xf>
    <xf numFmtId="0" fontId="26" fillId="3" borderId="45" xfId="0" applyFont="1" applyFill="1" applyBorder="1" applyAlignment="1">
      <alignment horizontal="center" vertical="center" shrinkToFit="1"/>
    </xf>
    <xf numFmtId="0" fontId="26" fillId="3" borderId="46" xfId="0" applyFont="1" applyFill="1" applyBorder="1" applyAlignment="1">
      <alignment horizontal="center" vertical="center" shrinkToFit="1"/>
    </xf>
    <xf numFmtId="0" fontId="26" fillId="3" borderId="44" xfId="0" applyFont="1" applyFill="1" applyBorder="1" applyAlignment="1">
      <alignment horizontal="center" vertical="center" shrinkToFit="1"/>
    </xf>
    <xf numFmtId="0" fontId="29" fillId="3" borderId="45" xfId="0" applyFont="1" applyFill="1" applyBorder="1" applyAlignment="1">
      <alignment horizontal="center" vertical="center" shrinkToFit="1"/>
    </xf>
    <xf numFmtId="0" fontId="32" fillId="0" borderId="44" xfId="0" applyFont="1" applyBorder="1" applyAlignment="1">
      <alignment horizontal="center" vertical="center" shrinkToFit="1"/>
    </xf>
    <xf numFmtId="0" fontId="26" fillId="0" borderId="37" xfId="0" applyFont="1" applyBorder="1" applyAlignment="1">
      <alignment horizontal="center" vertical="center"/>
    </xf>
    <xf numFmtId="0" fontId="20" fillId="0" borderId="37" xfId="0" applyFont="1" applyBorder="1" applyAlignment="1">
      <alignment horizontal="left" vertical="center" indent="1"/>
    </xf>
    <xf numFmtId="0" fontId="34" fillId="0" borderId="37" xfId="0" applyFont="1" applyBorder="1">
      <alignment vertical="center"/>
    </xf>
    <xf numFmtId="38" fontId="23" fillId="0" borderId="37" xfId="1" applyFont="1" applyBorder="1">
      <alignment vertical="center"/>
    </xf>
    <xf numFmtId="0" fontId="0" fillId="4" borderId="37" xfId="0" applyFill="1" applyBorder="1" applyAlignment="1">
      <alignment horizontal="center" vertical="center"/>
    </xf>
    <xf numFmtId="38" fontId="0" fillId="4" borderId="37" xfId="1" applyFont="1" applyFill="1" applyBorder="1" applyAlignment="1">
      <alignment horizontal="center" vertical="center"/>
    </xf>
    <xf numFmtId="0" fontId="21" fillId="0" borderId="37" xfId="0" applyFont="1" applyBorder="1" applyAlignment="1">
      <alignment horizontal="left" vertical="center" indent="1"/>
    </xf>
    <xf numFmtId="0" fontId="32" fillId="0" borderId="37" xfId="0" applyFont="1" applyBorder="1" applyAlignment="1">
      <alignment horizontal="left" vertical="center" indent="1"/>
    </xf>
    <xf numFmtId="0" fontId="21" fillId="0" borderId="37" xfId="0" applyFont="1" applyBorder="1" applyAlignment="1">
      <alignment horizontal="left" vertical="center"/>
    </xf>
    <xf numFmtId="0" fontId="32" fillId="0" borderId="37" xfId="0" applyFont="1" applyBorder="1" applyAlignment="1">
      <alignment horizontal="left" vertical="center"/>
    </xf>
    <xf numFmtId="0" fontId="21" fillId="0" borderId="37" xfId="0" applyFont="1" applyBorder="1" applyAlignment="1">
      <alignment horizontal="center" vertical="center"/>
    </xf>
    <xf numFmtId="0" fontId="0" fillId="0" borderId="0" xfId="0" applyAlignment="1">
      <alignment horizontal="center" vertical="center"/>
    </xf>
    <xf numFmtId="0" fontId="0" fillId="2" borderId="29" xfId="0" applyFill="1" applyBorder="1" applyAlignment="1">
      <alignment horizontal="center" vertical="center"/>
    </xf>
    <xf numFmtId="0" fontId="0" fillId="2" borderId="30" xfId="0" applyFill="1" applyBorder="1" applyAlignment="1">
      <alignment horizontal="center" vertical="center"/>
    </xf>
    <xf numFmtId="38" fontId="0" fillId="2" borderId="30" xfId="1" applyFont="1" applyFill="1" applyBorder="1" applyAlignment="1">
      <alignment horizontal="center" vertical="center"/>
    </xf>
    <xf numFmtId="0" fontId="0" fillId="2" borderId="31" xfId="0" applyFill="1" applyBorder="1" applyAlignment="1">
      <alignment horizontal="center" vertical="center"/>
    </xf>
    <xf numFmtId="0" fontId="20" fillId="0" borderId="56" xfId="0" applyFont="1" applyBorder="1">
      <alignment vertical="center"/>
    </xf>
    <xf numFmtId="0" fontId="0" fillId="0" borderId="57" xfId="0" applyBorder="1">
      <alignment vertical="center"/>
    </xf>
    <xf numFmtId="38" fontId="0" fillId="0" borderId="0" xfId="1" applyFont="1" applyAlignment="1">
      <alignment horizontal="center" vertical="center"/>
    </xf>
    <xf numFmtId="9" fontId="0" fillId="0" borderId="0" xfId="2" applyFont="1" applyAlignment="1">
      <alignment horizontal="center" vertical="center"/>
    </xf>
    <xf numFmtId="0" fontId="0" fillId="0" borderId="56" xfId="0" applyBorder="1" applyAlignment="1">
      <alignment horizontal="left" vertical="center" indent="1"/>
    </xf>
    <xf numFmtId="0" fontId="0" fillId="0" borderId="57" xfId="0" applyBorder="1" applyAlignment="1">
      <alignment horizontal="left" vertical="center" indent="1"/>
    </xf>
    <xf numFmtId="38" fontId="0" fillId="0" borderId="0" xfId="0" applyNumberFormat="1">
      <alignment vertical="center"/>
    </xf>
    <xf numFmtId="0" fontId="20" fillId="0" borderId="56" xfId="0" applyFont="1" applyBorder="1" applyAlignment="1">
      <alignment horizontal="center" vertical="center"/>
    </xf>
    <xf numFmtId="0" fontId="0" fillId="0" borderId="57" xfId="0" applyBorder="1" applyAlignment="1">
      <alignment horizontal="center" vertical="center"/>
    </xf>
    <xf numFmtId="3" fontId="24" fillId="0" borderId="57" xfId="0" applyNumberFormat="1" applyFont="1" applyBorder="1" applyAlignment="1">
      <alignment vertical="center" wrapText="1"/>
    </xf>
    <xf numFmtId="0" fontId="26" fillId="0" borderId="32" xfId="0" applyFont="1" applyBorder="1" applyAlignment="1">
      <alignment horizontal="center" vertical="center"/>
    </xf>
    <xf numFmtId="0" fontId="0" fillId="0" borderId="33" xfId="0" applyBorder="1">
      <alignment vertical="center"/>
    </xf>
    <xf numFmtId="185" fontId="0" fillId="0" borderId="33" xfId="0" applyNumberFormat="1" applyBorder="1" applyAlignment="1">
      <alignment horizontal="center" vertical="center"/>
    </xf>
    <xf numFmtId="38" fontId="0" fillId="0" borderId="33" xfId="1" applyFont="1" applyBorder="1" applyAlignment="1">
      <alignment horizontal="center" vertical="center"/>
    </xf>
    <xf numFmtId="38" fontId="22" fillId="0" borderId="33" xfId="1" applyFont="1" applyBorder="1">
      <alignment vertical="center"/>
    </xf>
    <xf numFmtId="38" fontId="0" fillId="0" borderId="33" xfId="1" applyFont="1" applyBorder="1">
      <alignment vertical="center"/>
    </xf>
    <xf numFmtId="0" fontId="0" fillId="0" borderId="34" xfId="0" applyBorder="1">
      <alignment vertical="center"/>
    </xf>
    <xf numFmtId="38" fontId="0" fillId="0" borderId="0" xfId="0" applyNumberFormat="1" applyAlignment="1">
      <alignment horizontal="center" vertical="center"/>
    </xf>
    <xf numFmtId="0" fontId="29" fillId="0" borderId="56" xfId="0" applyFont="1" applyBorder="1" applyAlignment="1">
      <alignment horizontal="center" vertical="center"/>
    </xf>
    <xf numFmtId="0" fontId="20" fillId="0" borderId="56" xfId="0" applyFont="1" applyBorder="1" applyAlignment="1">
      <alignment horizontal="left" vertical="center"/>
    </xf>
    <xf numFmtId="0" fontId="20" fillId="0" borderId="32" xfId="0" applyFont="1" applyBorder="1" applyAlignment="1">
      <alignment horizontal="center" vertical="center"/>
    </xf>
    <xf numFmtId="0" fontId="0" fillId="0" borderId="33" xfId="0" applyBorder="1" applyAlignment="1">
      <alignment horizontal="right" vertical="center"/>
    </xf>
    <xf numFmtId="38" fontId="20" fillId="0" borderId="33" xfId="1" applyFont="1" applyBorder="1">
      <alignment vertical="center"/>
    </xf>
    <xf numFmtId="0" fontId="35" fillId="0" borderId="37" xfId="0" applyFont="1" applyBorder="1">
      <alignment vertical="center"/>
    </xf>
    <xf numFmtId="0" fontId="0" fillId="0" borderId="37" xfId="0" applyBorder="1" applyAlignment="1">
      <alignment horizontal="left" vertical="center"/>
    </xf>
    <xf numFmtId="0" fontId="36" fillId="0" borderId="57" xfId="0" applyFont="1" applyBorder="1" applyAlignment="1">
      <alignment horizontal="left" vertical="center" indent="1"/>
    </xf>
    <xf numFmtId="0" fontId="0" fillId="0" borderId="61" xfId="0" applyBorder="1">
      <alignment vertical="center"/>
    </xf>
    <xf numFmtId="0" fontId="19" fillId="0" borderId="36" xfId="0" applyFont="1" applyBorder="1" applyAlignment="1">
      <alignment horizontal="center" vertical="center"/>
    </xf>
    <xf numFmtId="0" fontId="31" fillId="0" borderId="42" xfId="0" applyFont="1" applyBorder="1" applyAlignment="1" applyProtection="1">
      <alignment horizontal="left" vertical="center" wrapText="1" shrinkToFit="1"/>
      <protection locked="0"/>
    </xf>
    <xf numFmtId="0" fontId="20" fillId="3" borderId="42" xfId="0" applyFont="1" applyFill="1" applyBorder="1" applyAlignment="1">
      <alignment horizontal="center" vertical="center"/>
    </xf>
    <xf numFmtId="0" fontId="31" fillId="0" borderId="42" xfId="0" applyFont="1" applyBorder="1" applyAlignment="1" applyProtection="1">
      <alignment horizontal="left" vertical="center" shrinkToFit="1"/>
      <protection locked="0"/>
    </xf>
    <xf numFmtId="0" fontId="31" fillId="0" borderId="42" xfId="4" applyFont="1" applyBorder="1" applyAlignment="1" applyProtection="1">
      <alignment horizontal="left" vertical="center"/>
      <protection locked="0"/>
    </xf>
    <xf numFmtId="0" fontId="20" fillId="3" borderId="42" xfId="0" applyFont="1" applyFill="1" applyBorder="1" applyAlignment="1">
      <alignment horizontal="left" vertical="center"/>
    </xf>
    <xf numFmtId="0" fontId="37" fillId="0" borderId="6" xfId="0" applyFont="1" applyBorder="1" applyAlignment="1">
      <alignment horizontal="left" vertical="center"/>
    </xf>
    <xf numFmtId="0" fontId="20" fillId="0" borderId="42" xfId="0" applyFont="1" applyBorder="1" applyAlignment="1">
      <alignment horizontal="center" vertical="center"/>
    </xf>
    <xf numFmtId="38" fontId="22" fillId="0" borderId="37" xfId="1" applyFont="1" applyBorder="1" applyAlignment="1">
      <alignment horizontal="center" vertical="center"/>
    </xf>
    <xf numFmtId="9" fontId="0" fillId="0" borderId="37" xfId="2" applyFont="1" applyBorder="1" applyAlignment="1">
      <alignment horizontal="center" vertical="center"/>
    </xf>
    <xf numFmtId="0" fontId="39" fillId="0" borderId="37" xfId="0" applyFont="1" applyBorder="1">
      <alignment vertical="center"/>
    </xf>
    <xf numFmtId="0" fontId="40" fillId="0" borderId="37" xfId="0" quotePrefix="1" applyFont="1" applyBorder="1" applyAlignment="1">
      <alignment vertical="center" wrapText="1"/>
    </xf>
    <xf numFmtId="187" fontId="0" fillId="0" borderId="37" xfId="1" applyNumberFormat="1" applyFont="1" applyBorder="1" applyAlignment="1">
      <alignment horizontal="center" vertical="center"/>
    </xf>
    <xf numFmtId="186" fontId="0" fillId="0" borderId="33" xfId="0" applyNumberFormat="1" applyBorder="1" applyAlignment="1">
      <alignment horizontal="center" vertical="center"/>
    </xf>
    <xf numFmtId="187" fontId="0" fillId="0" borderId="37" xfId="0" applyNumberFormat="1" applyBorder="1" applyAlignment="1">
      <alignment horizontal="center" vertical="center"/>
    </xf>
    <xf numFmtId="0" fontId="2" fillId="0" borderId="74" xfId="0" applyFont="1" applyBorder="1" applyAlignment="1">
      <alignment vertical="center" shrinkToFit="1"/>
    </xf>
    <xf numFmtId="0" fontId="0" fillId="0" borderId="39" xfId="0" applyBorder="1" applyAlignment="1">
      <alignment horizontal="center" vertical="center"/>
    </xf>
    <xf numFmtId="0" fontId="0" fillId="0" borderId="37" xfId="0" applyBorder="1" applyAlignment="1">
      <alignment vertical="center" shrinkToFit="1"/>
    </xf>
    <xf numFmtId="183" fontId="0" fillId="0" borderId="37" xfId="1" applyNumberFormat="1" applyFont="1" applyBorder="1">
      <alignment vertical="center"/>
    </xf>
    <xf numFmtId="0" fontId="24" fillId="0" borderId="37" xfId="0" applyFont="1" applyBorder="1" applyAlignment="1">
      <alignment horizontal="center" vertical="center"/>
    </xf>
    <xf numFmtId="3" fontId="24" fillId="0" borderId="37" xfId="0" applyNumberFormat="1" applyFont="1" applyBorder="1" applyAlignment="1">
      <alignment vertical="center" wrapText="1"/>
    </xf>
    <xf numFmtId="183" fontId="0" fillId="0" borderId="37" xfId="0" applyNumberFormat="1" applyBorder="1" applyAlignment="1">
      <alignment horizontal="center" vertical="center"/>
    </xf>
    <xf numFmtId="9" fontId="0" fillId="0" borderId="37" xfId="2" applyFont="1" applyBorder="1">
      <alignment vertical="center"/>
    </xf>
    <xf numFmtId="183" fontId="22" fillId="0" borderId="37" xfId="1" applyNumberFormat="1" applyFont="1" applyBorder="1">
      <alignment vertical="center"/>
    </xf>
    <xf numFmtId="0" fontId="21" fillId="0" borderId="37" xfId="0" applyFont="1" applyBorder="1" applyAlignment="1">
      <alignment vertical="center" shrinkToFit="1"/>
    </xf>
    <xf numFmtId="0" fontId="0" fillId="5" borderId="37" xfId="0" applyFill="1" applyBorder="1" applyAlignment="1">
      <alignment horizontal="center" vertical="center"/>
    </xf>
    <xf numFmtId="38" fontId="0" fillId="5" borderId="37" xfId="1" applyFont="1" applyFill="1" applyBorder="1" applyAlignment="1">
      <alignment horizontal="center" vertical="center"/>
    </xf>
    <xf numFmtId="0" fontId="0" fillId="5" borderId="29" xfId="0" applyFill="1" applyBorder="1" applyAlignment="1">
      <alignment horizontal="center" vertical="center"/>
    </xf>
    <xf numFmtId="0" fontId="0" fillId="5" borderId="30" xfId="0" applyFill="1" applyBorder="1" applyAlignment="1">
      <alignment horizontal="center" vertical="center"/>
    </xf>
    <xf numFmtId="38" fontId="0" fillId="5" borderId="30" xfId="1" applyFont="1" applyFill="1" applyBorder="1" applyAlignment="1">
      <alignment horizontal="center" vertical="center"/>
    </xf>
    <xf numFmtId="0" fontId="0" fillId="5" borderId="31" xfId="0" applyFill="1" applyBorder="1" applyAlignment="1">
      <alignment horizontal="center" vertical="center"/>
    </xf>
    <xf numFmtId="0" fontId="27" fillId="3" borderId="0" xfId="0" applyFont="1" applyFill="1" applyAlignment="1" applyProtection="1">
      <alignment horizontal="center" vertical="center"/>
      <protection locked="0"/>
    </xf>
    <xf numFmtId="0" fontId="31" fillId="0" borderId="43" xfId="4" applyFont="1" applyBorder="1" applyAlignment="1" applyProtection="1">
      <alignment horizontal="left" vertical="center"/>
      <protection locked="0"/>
    </xf>
    <xf numFmtId="0" fontId="20" fillId="3" borderId="43" xfId="0" applyFont="1" applyFill="1" applyBorder="1" applyAlignment="1">
      <alignment horizontal="left" vertical="center"/>
    </xf>
    <xf numFmtId="0" fontId="37" fillId="0" borderId="61" xfId="0" applyFont="1" applyBorder="1">
      <alignment vertical="center"/>
    </xf>
    <xf numFmtId="38" fontId="17" fillId="0" borderId="0" xfId="1" applyFont="1" applyBorder="1" applyAlignment="1">
      <alignment horizontal="right" vertical="center" shrinkToFit="1"/>
    </xf>
    <xf numFmtId="0" fontId="13" fillId="0" borderId="0" xfId="0" applyFont="1" applyAlignment="1">
      <alignment horizontal="center" vertical="center" shrinkToFit="1"/>
    </xf>
    <xf numFmtId="184" fontId="13" fillId="0" borderId="0" xfId="2" applyNumberFormat="1" applyFont="1" applyAlignment="1">
      <alignment horizontal="center" vertical="center" shrinkToFit="1"/>
    </xf>
    <xf numFmtId="0" fontId="2" fillId="0" borderId="29"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52" xfId="0" applyFont="1" applyBorder="1" applyAlignment="1">
      <alignment horizontal="center" vertical="center" shrinkToFit="1"/>
    </xf>
    <xf numFmtId="0" fontId="2" fillId="0" borderId="53" xfId="0" applyFont="1" applyBorder="1" applyAlignment="1">
      <alignment horizontal="center" vertical="center" shrinkToFit="1"/>
    </xf>
    <xf numFmtId="0" fontId="4" fillId="0" borderId="52" xfId="0" applyFont="1" applyBorder="1" applyAlignment="1">
      <alignment horizontal="center" vertical="center" shrinkToFit="1"/>
    </xf>
    <xf numFmtId="0" fontId="4" fillId="0" borderId="54" xfId="0" applyFont="1" applyBorder="1" applyAlignment="1">
      <alignment horizontal="center" vertical="center" shrinkToFit="1"/>
    </xf>
    <xf numFmtId="0" fontId="4" fillId="0" borderId="53" xfId="0" applyFont="1" applyBorder="1" applyAlignment="1">
      <alignment horizontal="center" vertical="center" shrinkToFit="1"/>
    </xf>
    <xf numFmtId="0" fontId="2" fillId="0" borderId="54" xfId="0" applyFont="1" applyBorder="1" applyAlignment="1">
      <alignment horizontal="center" vertical="center" shrinkToFit="1"/>
    </xf>
    <xf numFmtId="0" fontId="2" fillId="0" borderId="52" xfId="0" applyFont="1" applyBorder="1" applyAlignment="1">
      <alignment horizontal="right" vertical="center" shrinkToFit="1"/>
    </xf>
    <xf numFmtId="0" fontId="2" fillId="0" borderId="54" xfId="0" applyFont="1" applyBorder="1" applyAlignment="1">
      <alignment horizontal="right" vertical="center" shrinkToFit="1"/>
    </xf>
    <xf numFmtId="0" fontId="2" fillId="0" borderId="53" xfId="0" applyFont="1" applyBorder="1" applyAlignment="1">
      <alignment horizontal="right" vertical="center" shrinkToFit="1"/>
    </xf>
    <xf numFmtId="181" fontId="2" fillId="0" borderId="52" xfId="0" applyNumberFormat="1" applyFont="1" applyBorder="1" applyAlignment="1">
      <alignment horizontal="right" vertical="center" shrinkToFit="1"/>
    </xf>
    <xf numFmtId="181" fontId="2" fillId="0" borderId="54" xfId="0" applyNumberFormat="1" applyFont="1" applyBorder="1" applyAlignment="1">
      <alignment horizontal="right" vertical="center" shrinkToFit="1"/>
    </xf>
    <xf numFmtId="181" fontId="2" fillId="0" borderId="53" xfId="0" applyNumberFormat="1" applyFont="1" applyBorder="1" applyAlignment="1">
      <alignment horizontal="right" vertical="center" shrinkToFit="1"/>
    </xf>
    <xf numFmtId="181" fontId="4" fillId="0" borderId="52" xfId="0" applyNumberFormat="1" applyFont="1" applyBorder="1" applyAlignment="1">
      <alignment horizontal="right" vertical="center" shrinkToFit="1"/>
    </xf>
    <xf numFmtId="181" fontId="4" fillId="0" borderId="54" xfId="0" applyNumberFormat="1" applyFont="1" applyBorder="1" applyAlignment="1">
      <alignment horizontal="right" vertical="center" shrinkToFit="1"/>
    </xf>
    <xf numFmtId="181" fontId="4" fillId="0" borderId="53" xfId="0" applyNumberFormat="1" applyFont="1" applyBorder="1" applyAlignment="1">
      <alignment horizontal="right" vertical="center" shrinkToFit="1"/>
    </xf>
    <xf numFmtId="0" fontId="2" fillId="0" borderId="55" xfId="0" applyFont="1" applyBorder="1" applyAlignment="1">
      <alignment horizontal="center" vertical="center" shrinkToFit="1"/>
    </xf>
    <xf numFmtId="38" fontId="13" fillId="0" borderId="32" xfId="1" applyFont="1" applyBorder="1" applyAlignment="1">
      <alignment horizontal="center" vertical="center" shrinkToFit="1"/>
    </xf>
    <xf numFmtId="38" fontId="13" fillId="0" borderId="33" xfId="1" applyFont="1" applyBorder="1" applyAlignment="1">
      <alignment horizontal="center" vertical="center" shrinkToFit="1"/>
    </xf>
    <xf numFmtId="38" fontId="16" fillId="0" borderId="33" xfId="1" applyFont="1" applyBorder="1" applyAlignment="1">
      <alignment horizontal="center" vertical="center" shrinkToFit="1"/>
    </xf>
    <xf numFmtId="184" fontId="16" fillId="0" borderId="33" xfId="2" applyNumberFormat="1" applyFont="1" applyBorder="1" applyAlignment="1">
      <alignment horizontal="center" vertical="center" shrinkToFit="1"/>
    </xf>
    <xf numFmtId="184" fontId="16" fillId="0" borderId="34" xfId="2" applyNumberFormat="1"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21" xfId="0" applyFont="1" applyBorder="1" applyAlignment="1">
      <alignment horizontal="center" vertical="center" shrinkToFit="1"/>
    </xf>
    <xf numFmtId="0" fontId="14" fillId="0" borderId="21" xfId="0" applyFont="1" applyBorder="1" applyAlignment="1">
      <alignment horizontal="center" vertical="center" shrinkToFit="1"/>
    </xf>
    <xf numFmtId="0" fontId="14" fillId="0" borderId="22" xfId="0" applyFont="1" applyBorder="1" applyAlignment="1">
      <alignment horizontal="center" vertical="center" shrinkToFit="1"/>
    </xf>
    <xf numFmtId="0" fontId="2" fillId="0" borderId="24" xfId="0" applyFont="1" applyBorder="1" applyAlignment="1">
      <alignment horizontal="center" vertical="center" shrinkToFit="1"/>
    </xf>
    <xf numFmtId="0" fontId="2" fillId="0" borderId="23" xfId="0" applyFont="1" applyBorder="1" applyAlignment="1">
      <alignment horizontal="center" vertical="center" shrinkToFit="1"/>
    </xf>
    <xf numFmtId="0" fontId="15" fillId="0" borderId="24" xfId="0" applyFont="1" applyBorder="1" applyAlignment="1">
      <alignment horizontal="center" vertical="center" shrinkToFit="1"/>
    </xf>
    <xf numFmtId="0" fontId="15" fillId="0" borderId="25" xfId="0" applyFont="1" applyBorder="1" applyAlignment="1">
      <alignment horizontal="center" vertical="center" shrinkToFit="1"/>
    </xf>
    <xf numFmtId="0" fontId="15" fillId="0" borderId="23" xfId="0" applyFont="1" applyBorder="1" applyAlignment="1">
      <alignment horizontal="center" vertical="center" shrinkToFit="1"/>
    </xf>
    <xf numFmtId="0" fontId="2" fillId="0" borderId="24" xfId="0" applyFont="1" applyBorder="1" applyAlignment="1">
      <alignment horizontal="left" vertical="center" shrinkToFit="1"/>
    </xf>
    <xf numFmtId="0" fontId="2" fillId="0" borderId="25" xfId="0" applyFont="1" applyBorder="1" applyAlignment="1">
      <alignment horizontal="left" vertical="center" shrinkToFit="1"/>
    </xf>
    <xf numFmtId="0" fontId="2" fillId="0" borderId="23" xfId="0" applyFont="1" applyBorder="1" applyAlignment="1">
      <alignment horizontal="left" vertical="center" shrinkToFit="1"/>
    </xf>
    <xf numFmtId="183" fontId="2" fillId="0" borderId="24" xfId="1" applyNumberFormat="1" applyFont="1" applyBorder="1" applyAlignment="1">
      <alignment horizontal="center" vertical="center" shrinkToFit="1"/>
    </xf>
    <xf numFmtId="183" fontId="2" fillId="0" borderId="25" xfId="1" applyNumberFormat="1" applyFont="1" applyBorder="1" applyAlignment="1">
      <alignment horizontal="center" vertical="center" shrinkToFit="1"/>
    </xf>
    <xf numFmtId="183" fontId="2" fillId="0" borderId="23" xfId="1" applyNumberFormat="1" applyFont="1" applyBorder="1" applyAlignment="1">
      <alignment horizontal="center" vertical="center" shrinkToFit="1"/>
    </xf>
    <xf numFmtId="181" fontId="15" fillId="0" borderId="24" xfId="0" applyNumberFormat="1" applyFont="1" applyBorder="1" applyAlignment="1">
      <alignment horizontal="right" vertical="center" shrinkToFit="1"/>
    </xf>
    <xf numFmtId="181" fontId="15" fillId="0" borderId="25" xfId="0" applyNumberFormat="1" applyFont="1" applyBorder="1" applyAlignment="1">
      <alignment horizontal="right" vertical="center" shrinkToFit="1"/>
    </xf>
    <xf numFmtId="181" fontId="15" fillId="0" borderId="23" xfId="0" applyNumberFormat="1" applyFont="1" applyBorder="1" applyAlignment="1">
      <alignment horizontal="right" vertical="center" shrinkToFit="1"/>
    </xf>
    <xf numFmtId="182" fontId="2" fillId="0" borderId="26" xfId="0" applyNumberFormat="1" applyFont="1" applyBorder="1" applyAlignment="1">
      <alignment horizontal="right" vertical="center" shrinkToFit="1"/>
    </xf>
    <xf numFmtId="182" fontId="2" fillId="0" borderId="27" xfId="0" applyNumberFormat="1" applyFont="1" applyBorder="1" applyAlignment="1">
      <alignment horizontal="right" vertical="center" shrinkToFit="1"/>
    </xf>
    <xf numFmtId="182" fontId="2" fillId="0" borderId="28" xfId="0" applyNumberFormat="1" applyFont="1" applyBorder="1" applyAlignment="1">
      <alignment horizontal="right" vertical="center" shrinkToFit="1"/>
    </xf>
    <xf numFmtId="0" fontId="2" fillId="0" borderId="25" xfId="0" applyFont="1" applyBorder="1" applyAlignment="1">
      <alignment horizontal="center" vertical="center" shrinkToFit="1"/>
    </xf>
    <xf numFmtId="182" fontId="2" fillId="0" borderId="12" xfId="0" applyNumberFormat="1" applyFont="1" applyBorder="1" applyAlignment="1">
      <alignment horizontal="right" vertical="center" shrinkToFit="1"/>
    </xf>
    <xf numFmtId="182" fontId="2" fillId="0" borderId="4" xfId="0" applyNumberFormat="1" applyFont="1" applyBorder="1" applyAlignment="1">
      <alignment horizontal="right" vertical="center" shrinkToFit="1"/>
    </xf>
    <xf numFmtId="182" fontId="2" fillId="0" borderId="13" xfId="0" applyNumberFormat="1" applyFont="1" applyBorder="1" applyAlignment="1">
      <alignment horizontal="right" vertical="center" shrinkToFit="1"/>
    </xf>
    <xf numFmtId="0" fontId="2" fillId="0" borderId="19"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6" xfId="0" applyFont="1" applyBorder="1" applyAlignment="1">
      <alignment horizontal="center" vertical="center" shrinkToFit="1"/>
    </xf>
    <xf numFmtId="0" fontId="2" fillId="0" borderId="17" xfId="0" applyFont="1" applyBorder="1" applyAlignment="1">
      <alignment horizontal="center" vertical="center" shrinkToFit="1"/>
    </xf>
    <xf numFmtId="38" fontId="2" fillId="0" borderId="10" xfId="0" applyNumberFormat="1" applyFont="1" applyBorder="1" applyAlignment="1">
      <alignment horizontal="center" vertical="center" shrinkToFit="1"/>
    </xf>
    <xf numFmtId="0" fontId="2" fillId="0" borderId="11"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0" xfId="0" applyFont="1" applyBorder="1" applyAlignment="1">
      <alignment horizontal="left" vertical="center" shrinkToFit="1"/>
    </xf>
    <xf numFmtId="0" fontId="2" fillId="0" borderId="11" xfId="0" applyFont="1" applyBorder="1" applyAlignment="1">
      <alignment horizontal="left" vertical="center" shrinkToFit="1"/>
    </xf>
    <xf numFmtId="0" fontId="2" fillId="0" borderId="9" xfId="0" applyFont="1" applyBorder="1" applyAlignment="1">
      <alignment horizontal="left" vertical="center" shrinkToFit="1"/>
    </xf>
    <xf numFmtId="180" fontId="2" fillId="0" borderId="10" xfId="0" applyNumberFormat="1" applyFont="1" applyBorder="1" applyAlignment="1">
      <alignment horizontal="right" vertical="center" shrinkToFit="1"/>
    </xf>
    <xf numFmtId="180" fontId="2" fillId="0" borderId="11" xfId="0" applyNumberFormat="1" applyFont="1" applyBorder="1" applyAlignment="1">
      <alignment horizontal="right" vertical="center" shrinkToFit="1"/>
    </xf>
    <xf numFmtId="180" fontId="2" fillId="0" borderId="9" xfId="0" applyNumberFormat="1" applyFont="1" applyBorder="1" applyAlignment="1">
      <alignment horizontal="right" vertical="center" shrinkToFit="1"/>
    </xf>
    <xf numFmtId="0" fontId="2" fillId="0" borderId="10" xfId="0" applyFont="1" applyBorder="1" applyAlignment="1">
      <alignment horizontal="center" vertical="center" shrinkToFit="1"/>
    </xf>
    <xf numFmtId="181" fontId="13" fillId="0" borderId="17" xfId="0" applyNumberFormat="1" applyFont="1" applyBorder="1" applyAlignment="1">
      <alignment horizontal="right" vertical="center" shrinkToFit="1"/>
    </xf>
    <xf numFmtId="181" fontId="13" fillId="0" borderId="18" xfId="0" applyNumberFormat="1" applyFont="1" applyBorder="1" applyAlignment="1">
      <alignment horizontal="right" vertical="center" shrinkToFit="1"/>
    </xf>
    <xf numFmtId="181" fontId="13" fillId="0" borderId="16" xfId="0" applyNumberFormat="1" applyFont="1" applyBorder="1" applyAlignment="1">
      <alignment horizontal="right" vertical="center" shrinkToFit="1"/>
    </xf>
    <xf numFmtId="0" fontId="2" fillId="0" borderId="17"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16" xfId="0" applyFont="1" applyBorder="1" applyAlignment="1">
      <alignment horizontal="left" vertical="center" shrinkToFit="1"/>
    </xf>
    <xf numFmtId="183" fontId="2" fillId="0" borderId="17" xfId="1" applyNumberFormat="1" applyFont="1" applyBorder="1" applyAlignment="1">
      <alignment horizontal="center" vertical="center" shrinkToFit="1"/>
    </xf>
    <xf numFmtId="183" fontId="2" fillId="0" borderId="18" xfId="1" applyNumberFormat="1" applyFont="1" applyBorder="1" applyAlignment="1">
      <alignment horizontal="center" vertical="center" shrinkToFit="1"/>
    </xf>
    <xf numFmtId="183" fontId="2" fillId="0" borderId="16" xfId="1" applyNumberFormat="1" applyFont="1" applyBorder="1" applyAlignment="1">
      <alignment horizontal="center" vertical="center" shrinkToFit="1"/>
    </xf>
    <xf numFmtId="181" fontId="2" fillId="0" borderId="17" xfId="0" applyNumberFormat="1" applyFont="1" applyBorder="1" applyAlignment="1">
      <alignment horizontal="right" vertical="center" shrinkToFit="1"/>
    </xf>
    <xf numFmtId="181" fontId="2" fillId="0" borderId="18" xfId="0" applyNumberFormat="1" applyFont="1" applyBorder="1" applyAlignment="1">
      <alignment horizontal="right" vertical="center" shrinkToFit="1"/>
    </xf>
    <xf numFmtId="181" fontId="2" fillId="0" borderId="16" xfId="0" applyNumberFormat="1" applyFont="1" applyBorder="1" applyAlignment="1">
      <alignment horizontal="right" vertical="center" shrinkToFit="1"/>
    </xf>
    <xf numFmtId="0" fontId="2" fillId="0" borderId="0" xfId="0" applyFont="1" applyAlignment="1">
      <alignment horizontal="center" vertical="center" shrinkToFit="1"/>
    </xf>
    <xf numFmtId="0" fontId="2" fillId="0" borderId="1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19" xfId="0" applyFont="1" applyBorder="1" applyAlignment="1">
      <alignment horizontal="left" vertical="center" shrinkToFit="1"/>
    </xf>
    <xf numFmtId="180" fontId="2" fillId="0" borderId="10" xfId="0" applyNumberFormat="1" applyFont="1" applyBorder="1" applyAlignment="1">
      <alignment horizontal="center" vertical="center" shrinkToFit="1"/>
    </xf>
    <xf numFmtId="180" fontId="2" fillId="0" borderId="11" xfId="0" applyNumberFormat="1" applyFont="1" applyBorder="1" applyAlignment="1">
      <alignment horizontal="center" vertical="center" shrinkToFit="1"/>
    </xf>
    <xf numFmtId="180" fontId="2" fillId="0" borderId="9" xfId="0" applyNumberFormat="1" applyFont="1" applyBorder="1" applyAlignment="1">
      <alignment horizontal="center" vertical="center" shrinkToFit="1"/>
    </xf>
    <xf numFmtId="38" fontId="2" fillId="0" borderId="12" xfId="0" applyNumberFormat="1" applyFont="1" applyBorder="1" applyAlignment="1">
      <alignment horizontal="center" vertical="center" shrinkToFit="1"/>
    </xf>
    <xf numFmtId="38" fontId="2" fillId="0" borderId="4" xfId="0" applyNumberFormat="1" applyFont="1" applyBorder="1" applyAlignment="1">
      <alignment horizontal="center" vertical="center" shrinkToFit="1"/>
    </xf>
    <xf numFmtId="38" fontId="2" fillId="0" borderId="13" xfId="0" applyNumberFormat="1" applyFont="1" applyBorder="1" applyAlignment="1">
      <alignment horizontal="center" vertical="center" shrinkToFit="1"/>
    </xf>
    <xf numFmtId="182" fontId="2" fillId="0" borderId="12" xfId="0" applyNumberFormat="1" applyFont="1" applyBorder="1" applyAlignment="1">
      <alignment vertical="center" shrinkToFit="1"/>
    </xf>
    <xf numFmtId="182" fontId="2" fillId="0" borderId="4" xfId="0" applyNumberFormat="1" applyFont="1" applyBorder="1" applyAlignment="1">
      <alignment vertical="center" shrinkToFit="1"/>
    </xf>
    <xf numFmtId="182" fontId="2" fillId="0" borderId="13" xfId="0" applyNumberFormat="1" applyFont="1" applyBorder="1" applyAlignment="1">
      <alignment vertical="center" shrinkToFit="1"/>
    </xf>
    <xf numFmtId="0" fontId="2" fillId="0" borderId="47" xfId="0" applyFont="1" applyBorder="1" applyAlignment="1">
      <alignment horizontal="center" vertical="center" shrinkToFit="1"/>
    </xf>
    <xf numFmtId="0" fontId="2" fillId="0" borderId="48" xfId="0" applyFont="1" applyBorder="1" applyAlignment="1">
      <alignment horizontal="center" vertical="center" shrinkToFit="1"/>
    </xf>
    <xf numFmtId="0" fontId="2" fillId="0" borderId="49" xfId="0" applyFont="1" applyBorder="1" applyAlignment="1">
      <alignment horizontal="center" vertical="center" shrinkToFit="1"/>
    </xf>
    <xf numFmtId="0" fontId="2" fillId="0" borderId="50" xfId="0" applyFont="1" applyBorder="1" applyAlignment="1">
      <alignment horizontal="center" vertical="center" shrinkToFit="1"/>
    </xf>
    <xf numFmtId="38" fontId="2" fillId="0" borderId="10" xfId="0" applyNumberFormat="1" applyFont="1" applyBorder="1" applyAlignment="1">
      <alignment vertical="center" shrinkToFit="1"/>
    </xf>
    <xf numFmtId="0" fontId="2" fillId="0" borderId="11" xfId="0" applyFont="1" applyBorder="1" applyAlignment="1">
      <alignment vertical="center" shrinkToFit="1"/>
    </xf>
    <xf numFmtId="0" fontId="2" fillId="0" borderId="9" xfId="0" applyFont="1" applyBorder="1" applyAlignment="1">
      <alignment vertical="center" shrinkToFit="1"/>
    </xf>
    <xf numFmtId="181" fontId="2" fillId="0" borderId="10" xfId="0" applyNumberFormat="1" applyFont="1" applyBorder="1" applyAlignment="1">
      <alignment horizontal="right" vertical="center" shrinkToFit="1"/>
    </xf>
    <xf numFmtId="181" fontId="2" fillId="0" borderId="11" xfId="0" applyNumberFormat="1" applyFont="1" applyBorder="1" applyAlignment="1">
      <alignment horizontal="right" vertical="center" shrinkToFit="1"/>
    </xf>
    <xf numFmtId="181" fontId="2" fillId="0" borderId="9" xfId="0" applyNumberFormat="1" applyFont="1" applyBorder="1" applyAlignment="1">
      <alignment horizontal="right" vertical="center" shrinkToFit="1"/>
    </xf>
    <xf numFmtId="0" fontId="2" fillId="0" borderId="14" xfId="0" applyFont="1" applyBorder="1" applyAlignment="1">
      <alignment horizontal="center" vertical="center" shrinkToFit="1"/>
    </xf>
    <xf numFmtId="0" fontId="2" fillId="0" borderId="15" xfId="0" applyFont="1" applyBorder="1" applyAlignment="1">
      <alignment horizontal="center" vertical="center" shrinkToFit="1"/>
    </xf>
    <xf numFmtId="0" fontId="2" fillId="0" borderId="51" xfId="0" applyFont="1" applyBorder="1" applyAlignment="1">
      <alignment horizontal="center" vertical="center" shrinkToFit="1"/>
    </xf>
    <xf numFmtId="0" fontId="10" fillId="0" borderId="0" xfId="0" applyFont="1" applyAlignment="1">
      <alignment horizontal="center" vertical="center" shrinkToFit="1"/>
    </xf>
    <xf numFmtId="0" fontId="10" fillId="0" borderId="8" xfId="0" applyFont="1" applyBorder="1" applyAlignment="1">
      <alignment horizontal="center" vertical="center" shrinkToFit="1"/>
    </xf>
    <xf numFmtId="178" fontId="6" fillId="0" borderId="7" xfId="0" applyNumberFormat="1" applyFont="1" applyBorder="1" applyAlignment="1">
      <alignment horizontal="center" vertical="center" shrinkToFit="1"/>
    </xf>
    <xf numFmtId="178" fontId="6" fillId="0" borderId="8" xfId="0" applyNumberFormat="1" applyFont="1" applyBorder="1" applyAlignment="1">
      <alignment horizontal="center" vertical="center" shrinkToFit="1"/>
    </xf>
    <xf numFmtId="0" fontId="2" fillId="0" borderId="4" xfId="0" applyFont="1" applyBorder="1" applyAlignment="1">
      <alignment horizontal="left" vertical="center" shrinkToFit="1"/>
    </xf>
    <xf numFmtId="0" fontId="2" fillId="0" borderId="5" xfId="0" applyFont="1" applyBorder="1" applyAlignment="1">
      <alignment horizontal="center" vertical="center" shrinkToFit="1"/>
    </xf>
    <xf numFmtId="178" fontId="2" fillId="0" borderId="5" xfId="0" applyNumberFormat="1" applyFont="1" applyBorder="1" applyAlignment="1">
      <alignment horizontal="center" vertical="center" shrinkToFit="1"/>
    </xf>
    <xf numFmtId="179" fontId="2" fillId="0" borderId="6" xfId="0" applyNumberFormat="1" applyFont="1" applyBorder="1" applyAlignment="1">
      <alignment horizontal="center" vertical="center" shrinkToFit="1"/>
    </xf>
    <xf numFmtId="177" fontId="2" fillId="0" borderId="4" xfId="0" applyNumberFormat="1" applyFont="1" applyBorder="1" applyAlignment="1">
      <alignment horizontal="center" vertical="center" shrinkToFit="1"/>
    </xf>
    <xf numFmtId="176" fontId="4" fillId="0" borderId="0" xfId="0" applyNumberFormat="1" applyFont="1" applyAlignment="1">
      <alignment horizontal="right" vertical="center" shrinkToFit="1"/>
    </xf>
    <xf numFmtId="0" fontId="5" fillId="0" borderId="0" xfId="0" applyFont="1" applyAlignment="1">
      <alignment horizontal="center" vertical="center" shrinkToFit="1"/>
    </xf>
    <xf numFmtId="0" fontId="6" fillId="0" borderId="0" xfId="0" applyFont="1" applyAlignment="1">
      <alignment horizontal="center" shrinkToFit="1"/>
    </xf>
    <xf numFmtId="0" fontId="6" fillId="0" borderId="1" xfId="0" applyFont="1" applyBorder="1" applyAlignment="1">
      <alignment horizontal="center" shrinkToFit="1"/>
    </xf>
    <xf numFmtId="0" fontId="7" fillId="0" borderId="0" xfId="0" applyFont="1" applyAlignment="1">
      <alignment horizontal="center" shrinkToFit="1"/>
    </xf>
    <xf numFmtId="0" fontId="2" fillId="0" borderId="3" xfId="0" applyFont="1" applyBorder="1" applyAlignment="1">
      <alignment horizontal="left" vertical="center" shrinkToFit="1"/>
    </xf>
    <xf numFmtId="0" fontId="2" fillId="0" borderId="0" xfId="0" applyFont="1" applyAlignment="1">
      <alignment horizontal="left" vertical="center" shrinkToFit="1"/>
    </xf>
    <xf numFmtId="0" fontId="18" fillId="0" borderId="0" xfId="0" applyFont="1" applyAlignment="1" applyProtection="1">
      <alignment horizontal="center" vertical="center"/>
      <protection locked="0"/>
    </xf>
    <xf numFmtId="0" fontId="19" fillId="0" borderId="35" xfId="0" applyFont="1" applyBorder="1" applyAlignment="1">
      <alignment horizontal="center" vertical="center"/>
    </xf>
    <xf numFmtId="0" fontId="19" fillId="0" borderId="36" xfId="0" applyFont="1" applyBorder="1" applyAlignment="1">
      <alignment horizontal="center" vertical="center"/>
    </xf>
    <xf numFmtId="3" fontId="25" fillId="0" borderId="37" xfId="0" applyNumberFormat="1" applyFont="1" applyBorder="1" applyAlignment="1">
      <alignment horizontal="center" vertical="center" wrapText="1"/>
    </xf>
    <xf numFmtId="0" fontId="27" fillId="0" borderId="5" xfId="0" applyFont="1" applyBorder="1" applyAlignment="1" applyProtection="1">
      <alignment horizontal="center" vertical="center"/>
      <protection locked="0"/>
    </xf>
    <xf numFmtId="0" fontId="20" fillId="0" borderId="6" xfId="0" applyFont="1" applyBorder="1" applyAlignment="1">
      <alignment horizontal="center" vertical="center"/>
    </xf>
    <xf numFmtId="0" fontId="20" fillId="0" borderId="42" xfId="0" applyFont="1" applyBorder="1" applyAlignment="1">
      <alignment horizontal="center" vertical="center"/>
    </xf>
    <xf numFmtId="0" fontId="20" fillId="3" borderId="6" xfId="0" applyFont="1" applyFill="1" applyBorder="1" applyAlignment="1">
      <alignment horizontal="center" vertical="center"/>
    </xf>
    <xf numFmtId="0" fontId="20" fillId="3" borderId="42" xfId="0" applyFont="1" applyFill="1" applyBorder="1" applyAlignment="1">
      <alignment horizontal="center" vertical="center"/>
    </xf>
    <xf numFmtId="0" fontId="31" fillId="0" borderId="6" xfId="0" applyFont="1" applyBorder="1" applyAlignment="1" applyProtection="1">
      <alignment horizontal="left" vertical="center" wrapText="1" shrinkToFit="1"/>
      <protection locked="0"/>
    </xf>
    <xf numFmtId="0" fontId="31" fillId="0" borderId="42" xfId="0" applyFont="1" applyBorder="1" applyAlignment="1" applyProtection="1">
      <alignment horizontal="left" vertical="center" wrapText="1" shrinkToFit="1"/>
      <protection locked="0"/>
    </xf>
    <xf numFmtId="0" fontId="31" fillId="0" borderId="6" xfId="0" applyFont="1" applyBorder="1" applyAlignment="1" applyProtection="1">
      <alignment horizontal="left" vertical="center" shrinkToFit="1"/>
      <protection locked="0"/>
    </xf>
    <xf numFmtId="0" fontId="31" fillId="0" borderId="42" xfId="0" applyFont="1" applyBorder="1" applyAlignment="1" applyProtection="1">
      <alignment horizontal="left" vertical="center" shrinkToFit="1"/>
      <protection locked="0"/>
    </xf>
    <xf numFmtId="0" fontId="31" fillId="0" borderId="6" xfId="4" applyFont="1" applyBorder="1" applyAlignment="1" applyProtection="1">
      <alignment horizontal="left" vertical="center"/>
      <protection locked="0"/>
    </xf>
    <xf numFmtId="0" fontId="31" fillId="0" borderId="42" xfId="4" applyFont="1" applyBorder="1" applyAlignment="1" applyProtection="1">
      <alignment horizontal="left" vertical="center"/>
      <protection locked="0"/>
    </xf>
    <xf numFmtId="0" fontId="20" fillId="3" borderId="6" xfId="0" applyFont="1" applyFill="1" applyBorder="1" applyAlignment="1">
      <alignment horizontal="left" vertical="center"/>
    </xf>
    <xf numFmtId="0" fontId="20" fillId="3" borderId="42" xfId="0" applyFont="1" applyFill="1" applyBorder="1" applyAlignment="1">
      <alignment horizontal="left" vertical="center"/>
    </xf>
    <xf numFmtId="0" fontId="31" fillId="0" borderId="6" xfId="0" applyFont="1" applyBorder="1" applyAlignment="1">
      <alignment horizontal="left" vertical="center"/>
    </xf>
    <xf numFmtId="0" fontId="30" fillId="3" borderId="45" xfId="0" applyFont="1" applyFill="1" applyBorder="1" applyAlignment="1" applyProtection="1">
      <alignment horizontal="center" vertical="center"/>
      <protection locked="0"/>
    </xf>
    <xf numFmtId="0" fontId="27" fillId="3" borderId="6" xfId="0" applyFont="1" applyFill="1" applyBorder="1" applyAlignment="1" applyProtection="1">
      <alignment horizontal="center" vertical="center"/>
      <protection locked="0"/>
    </xf>
    <xf numFmtId="0" fontId="27" fillId="3" borderId="42" xfId="0" applyFont="1" applyFill="1" applyBorder="1" applyAlignment="1" applyProtection="1">
      <alignment horizontal="center" vertical="center"/>
      <protection locked="0"/>
    </xf>
    <xf numFmtId="0" fontId="19" fillId="0" borderId="41" xfId="0" applyFont="1" applyBorder="1" applyAlignment="1">
      <alignment horizontal="center" vertical="center"/>
    </xf>
    <xf numFmtId="3" fontId="25" fillId="0" borderId="58" xfId="0" applyNumberFormat="1" applyFont="1" applyBorder="1" applyAlignment="1">
      <alignment horizontal="center" vertical="center" wrapText="1"/>
    </xf>
    <xf numFmtId="3" fontId="25" fillId="0" borderId="59" xfId="0" applyNumberFormat="1" applyFont="1" applyBorder="1" applyAlignment="1">
      <alignment horizontal="center" vertical="center" wrapText="1"/>
    </xf>
    <xf numFmtId="0" fontId="27" fillId="0" borderId="0" xfId="0" applyFont="1" applyAlignment="1" applyProtection="1">
      <alignment horizontal="center" vertical="center"/>
      <protection locked="0"/>
    </xf>
    <xf numFmtId="0" fontId="38" fillId="0" borderId="60" xfId="0" applyFont="1" applyBorder="1" applyAlignment="1">
      <alignment horizontal="center" vertical="center"/>
    </xf>
    <xf numFmtId="0" fontId="38" fillId="0" borderId="6" xfId="0" applyFont="1" applyBorder="1" applyAlignment="1">
      <alignment horizontal="center" vertical="center"/>
    </xf>
    <xf numFmtId="0" fontId="38" fillId="0" borderId="61" xfId="0" applyFont="1" applyBorder="1" applyAlignment="1">
      <alignment horizontal="center" vertical="center"/>
    </xf>
    <xf numFmtId="0" fontId="37" fillId="0" borderId="60" xfId="0" applyFont="1" applyBorder="1" applyAlignment="1">
      <alignment horizontal="left" vertical="center"/>
    </xf>
    <xf numFmtId="0" fontId="37" fillId="0" borderId="6" xfId="0" applyFont="1" applyBorder="1" applyAlignment="1">
      <alignment horizontal="left" vertical="center"/>
    </xf>
    <xf numFmtId="0" fontId="37" fillId="0" borderId="61" xfId="0" applyFont="1" applyBorder="1" applyAlignment="1">
      <alignment horizontal="left" vertical="center"/>
    </xf>
    <xf numFmtId="0" fontId="41" fillId="0" borderId="6" xfId="0" applyFont="1" applyBorder="1" applyAlignment="1">
      <alignment horizontal="left" vertical="center"/>
    </xf>
    <xf numFmtId="0" fontId="41" fillId="0" borderId="42" xfId="0" applyFont="1" applyBorder="1" applyAlignment="1">
      <alignment horizontal="left" vertical="center"/>
    </xf>
    <xf numFmtId="0" fontId="31" fillId="0" borderId="61" xfId="0" applyFont="1" applyBorder="1" applyAlignment="1">
      <alignment horizontal="left" vertical="center"/>
    </xf>
    <xf numFmtId="38" fontId="17" fillId="0" borderId="2" xfId="1" applyFont="1" applyBorder="1" applyAlignment="1">
      <alignment horizontal="right" vertical="center" shrinkToFit="1"/>
    </xf>
    <xf numFmtId="0" fontId="13" fillId="0" borderId="2" xfId="0" applyFont="1" applyBorder="1" applyAlignment="1">
      <alignment horizontal="center" vertical="center" shrinkToFit="1"/>
    </xf>
    <xf numFmtId="0" fontId="2" fillId="0" borderId="75" xfId="0" applyFont="1" applyBorder="1" applyAlignment="1">
      <alignment horizontal="center" vertical="center" shrinkToFit="1"/>
    </xf>
    <xf numFmtId="0" fontId="2" fillId="0" borderId="76"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78" xfId="0" applyFont="1" applyBorder="1" applyAlignment="1">
      <alignment horizontal="center" vertical="center" shrinkToFit="1"/>
    </xf>
    <xf numFmtId="0" fontId="4" fillId="0" borderId="76" xfId="0" applyFont="1" applyBorder="1" applyAlignment="1">
      <alignment horizontal="center" vertical="center" shrinkToFit="1"/>
    </xf>
    <xf numFmtId="0" fontId="2" fillId="0" borderId="77" xfId="0" applyFont="1" applyBorder="1" applyAlignment="1">
      <alignment horizontal="center" vertical="center" shrinkToFit="1"/>
    </xf>
    <xf numFmtId="0" fontId="2" fillId="0" borderId="78" xfId="0" applyFont="1" applyBorder="1" applyAlignment="1">
      <alignment horizontal="center" vertical="center" shrinkToFit="1"/>
    </xf>
    <xf numFmtId="0" fontId="2" fillId="0" borderId="77" xfId="0" applyFont="1" applyBorder="1" applyAlignment="1">
      <alignment horizontal="right" vertical="center" shrinkToFit="1"/>
    </xf>
    <xf numFmtId="0" fontId="2" fillId="0" borderId="78" xfId="0" applyFont="1" applyBorder="1" applyAlignment="1">
      <alignment horizontal="right" vertical="center" shrinkToFit="1"/>
    </xf>
    <xf numFmtId="0" fontId="2" fillId="0" borderId="76" xfId="0" applyFont="1" applyBorder="1" applyAlignment="1">
      <alignment horizontal="right" vertical="center" shrinkToFit="1"/>
    </xf>
    <xf numFmtId="181" fontId="2" fillId="0" borderId="77" xfId="0" applyNumberFormat="1" applyFont="1" applyBorder="1" applyAlignment="1">
      <alignment horizontal="right" vertical="center" shrinkToFit="1"/>
    </xf>
    <xf numFmtId="181" fontId="2" fillId="0" borderId="78" xfId="0" applyNumberFormat="1" applyFont="1" applyBorder="1" applyAlignment="1">
      <alignment horizontal="right" vertical="center" shrinkToFit="1"/>
    </xf>
    <xf numFmtId="181" fontId="2" fillId="0" borderId="76" xfId="0" applyNumberFormat="1" applyFont="1" applyBorder="1" applyAlignment="1">
      <alignment horizontal="right" vertical="center" shrinkToFit="1"/>
    </xf>
    <xf numFmtId="181" fontId="4" fillId="0" borderId="77" xfId="0" applyNumberFormat="1" applyFont="1" applyBorder="1" applyAlignment="1">
      <alignment horizontal="right" vertical="center" shrinkToFit="1"/>
    </xf>
    <xf numFmtId="181" fontId="4" fillId="0" borderId="78" xfId="0" applyNumberFormat="1" applyFont="1" applyBorder="1" applyAlignment="1">
      <alignment horizontal="right" vertical="center" shrinkToFit="1"/>
    </xf>
    <xf numFmtId="181" fontId="4" fillId="0" borderId="76" xfId="0" applyNumberFormat="1" applyFont="1" applyBorder="1" applyAlignment="1">
      <alignment horizontal="right" vertical="center" shrinkToFit="1"/>
    </xf>
    <xf numFmtId="0" fontId="2" fillId="0" borderId="72" xfId="0" applyFont="1" applyBorder="1" applyAlignment="1">
      <alignment horizontal="center" vertical="center" shrinkToFit="1"/>
    </xf>
    <xf numFmtId="0" fontId="2" fillId="0" borderId="73" xfId="0" applyFont="1" applyBorder="1" applyAlignment="1">
      <alignment horizontal="center" vertical="center" shrinkToFit="1"/>
    </xf>
    <xf numFmtId="0" fontId="2" fillId="0" borderId="79" xfId="0" applyFont="1" applyBorder="1" applyAlignment="1">
      <alignment horizontal="center" vertical="center" shrinkToFit="1"/>
    </xf>
    <xf numFmtId="0" fontId="2" fillId="0" borderId="80" xfId="0" applyFont="1" applyBorder="1" applyAlignment="1">
      <alignment horizontal="center" vertical="center" shrinkToFit="1"/>
    </xf>
    <xf numFmtId="0" fontId="2" fillId="0" borderId="71" xfId="0" applyFont="1" applyBorder="1" applyAlignment="1">
      <alignment horizontal="center" vertical="center" shrinkToFit="1"/>
    </xf>
    <xf numFmtId="0" fontId="2" fillId="0" borderId="70" xfId="0" applyFont="1" applyBorder="1" applyAlignment="1">
      <alignment horizontal="center" vertical="center" shrinkToFit="1"/>
    </xf>
    <xf numFmtId="0" fontId="2" fillId="0" borderId="64" xfId="0" applyFont="1" applyBorder="1" applyAlignment="1">
      <alignment horizontal="center" vertical="center" shrinkToFit="1"/>
    </xf>
    <xf numFmtId="0" fontId="2" fillId="0" borderId="63" xfId="0" applyFont="1" applyBorder="1" applyAlignment="1">
      <alignment horizontal="center" vertical="center" shrinkToFit="1"/>
    </xf>
    <xf numFmtId="0" fontId="2" fillId="0" borderId="65" xfId="0" applyFont="1" applyBorder="1" applyAlignment="1">
      <alignment horizontal="center" vertical="center" shrinkToFit="1"/>
    </xf>
    <xf numFmtId="0" fontId="2" fillId="0" borderId="66" xfId="0" applyFont="1" applyBorder="1" applyAlignment="1">
      <alignment horizontal="center" vertical="center" shrinkToFit="1"/>
    </xf>
    <xf numFmtId="0" fontId="2" fillId="0" borderId="67" xfId="0" applyFont="1" applyBorder="1" applyAlignment="1">
      <alignment horizontal="center" vertical="center" shrinkToFit="1"/>
    </xf>
    <xf numFmtId="0" fontId="2" fillId="0" borderId="68" xfId="0" applyFont="1" applyBorder="1" applyAlignment="1">
      <alignment horizontal="center" vertical="center" shrinkToFit="1"/>
    </xf>
    <xf numFmtId="0" fontId="2" fillId="0" borderId="69" xfId="0" applyFont="1" applyBorder="1" applyAlignment="1">
      <alignment horizontal="center" vertical="center" shrinkToFit="1"/>
    </xf>
    <xf numFmtId="0" fontId="2" fillId="0" borderId="62" xfId="0" applyFont="1" applyBorder="1" applyAlignment="1">
      <alignment horizontal="center" vertical="center" shrinkToFit="1"/>
    </xf>
    <xf numFmtId="3" fontId="24" fillId="0" borderId="37" xfId="0" applyNumberFormat="1" applyFont="1" applyBorder="1" applyAlignment="1">
      <alignment horizontal="center" vertical="center" wrapText="1"/>
    </xf>
    <xf numFmtId="0" fontId="25" fillId="0" borderId="37" xfId="0" applyFont="1" applyBorder="1" applyAlignment="1">
      <alignment horizontal="center" vertical="center"/>
    </xf>
  </cellXfs>
  <cellStyles count="5">
    <cellStyle name="パーセント" xfId="2" builtinId="5"/>
    <cellStyle name="桁区切り" xfId="1" builtinId="6"/>
    <cellStyle name="標準" xfId="0" builtinId="0"/>
    <cellStyle name="標準 2" xfId="3" xr:uid="{7DA12ADC-1220-4C98-BC87-52F8FE7FC6A5}"/>
    <cellStyle name="標準_最新見積書式" xfId="4" xr:uid="{E5EC4058-83D9-4743-AD4C-0DD9BBECF6FD}"/>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ii_k7pjujoc0" TargetMode="External"/><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67</xdr:col>
      <xdr:colOff>85725</xdr:colOff>
      <xdr:row>14</xdr:row>
      <xdr:rowOff>79375</xdr:rowOff>
    </xdr:from>
    <xdr:ext cx="3460694" cy="1158241"/>
    <xdr:sp macro="" textlink="">
      <xdr:nvSpPr>
        <xdr:cNvPr id="2" name="テキスト ボックス 1">
          <a:extLst>
            <a:ext uri="{FF2B5EF4-FFF2-40B4-BE49-F238E27FC236}">
              <a16:creationId xmlns:a16="http://schemas.microsoft.com/office/drawing/2014/main" id="{A35CB8DB-09E3-4E58-A6FD-C7FBADEDF4F7}"/>
            </a:ext>
          </a:extLst>
        </xdr:cNvPr>
        <xdr:cNvSpPr txBox="1"/>
      </xdr:nvSpPr>
      <xdr:spPr>
        <a:xfrm>
          <a:off x="11991975" y="2441575"/>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816-0103</a:t>
          </a:r>
          <a:r>
            <a:rPr kumimoji="1" lang="ja-JP" altLang="en-US" sz="1000" b="1">
              <a:latin typeface="HG丸ｺﾞｼｯｸM-PRO" panose="020F0600000000000000" pitchFamily="50" charset="-128"/>
              <a:ea typeface="HG丸ｺﾞｼｯｸM-PRO" panose="020F0600000000000000" pitchFamily="50" charset="-128"/>
            </a:rPr>
            <a:t>　福岡県太宰府市朱雀</a:t>
          </a:r>
          <a:r>
            <a:rPr kumimoji="1" lang="en-US" altLang="ja-JP" sz="1000" b="1">
              <a:latin typeface="HG丸ｺﾞｼｯｸM-PRO" panose="020F0600000000000000" pitchFamily="50" charset="-128"/>
              <a:ea typeface="HG丸ｺﾞｼｯｸM-PRO" panose="020F0600000000000000" pitchFamily="50" charset="-128"/>
            </a:rPr>
            <a:t>5-4-27</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FX:092-555-9217</a:t>
          </a:r>
        </a:p>
        <a:p>
          <a:endParaRPr kumimoji="1" lang="en-US" altLang="ja-JP" sz="1050" b="1">
            <a:latin typeface="HG丸ｺﾞｼｯｸM-PRO" panose="020F0600000000000000" pitchFamily="50" charset="-128"/>
            <a:ea typeface="HG丸ｺﾞｼｯｸM-PRO" panose="020F0600000000000000" pitchFamily="50" charset="-128"/>
          </a:endParaRPr>
        </a:p>
        <a:p>
          <a:endParaRPr kumimoji="1" lang="ja-JP" altLang="en-US" sz="1100">
            <a:latin typeface="HG丸ｺﾞｼｯｸM-PRO" panose="020F0600000000000000" pitchFamily="50" charset="-128"/>
            <a:ea typeface="HG丸ｺﾞｼｯｸM-PRO" panose="020F0600000000000000" pitchFamily="50" charset="-128"/>
          </a:endParaRPr>
        </a:p>
      </xdr:txBody>
    </xdr:sp>
    <xdr:clientData/>
  </xdr:oneCellAnchor>
  <xdr:twoCellAnchor editAs="oneCell">
    <xdr:from>
      <xdr:col>46</xdr:col>
      <xdr:colOff>7937</xdr:colOff>
      <xdr:row>15</xdr:row>
      <xdr:rowOff>179387</xdr:rowOff>
    </xdr:from>
    <xdr:to>
      <xdr:col>49</xdr:col>
      <xdr:colOff>1269</xdr:colOff>
      <xdr:row>18</xdr:row>
      <xdr:rowOff>149224</xdr:rowOff>
    </xdr:to>
    <xdr:pic>
      <xdr:nvPicPr>
        <xdr:cNvPr id="3" name="図 2">
          <a:extLst>
            <a:ext uri="{FF2B5EF4-FFF2-40B4-BE49-F238E27FC236}">
              <a16:creationId xmlns:a16="http://schemas.microsoft.com/office/drawing/2014/main" id="{956FA8DA-A8A6-4285-AC1D-B130A3DBC467}"/>
            </a:ext>
          </a:extLst>
        </xdr:cNvPr>
        <xdr:cNvPicPr>
          <a:picLocks noChangeAspect="1"/>
        </xdr:cNvPicPr>
      </xdr:nvPicPr>
      <xdr:blipFill>
        <a:blip xmlns:r="http://schemas.openxmlformats.org/officeDocument/2006/relationships" r:embed="rId1" cstate="print"/>
        <a:stretch>
          <a:fillRect/>
        </a:stretch>
      </xdr:blipFill>
      <xdr:spPr>
        <a:xfrm>
          <a:off x="8313737" y="2693987"/>
          <a:ext cx="496252" cy="512762"/>
        </a:xfrm>
        <a:prstGeom prst="rect">
          <a:avLst/>
        </a:prstGeom>
      </xdr:spPr>
    </xdr:pic>
    <xdr:clientData/>
  </xdr:twoCellAnchor>
  <xdr:twoCellAnchor editAs="oneCell">
    <xdr:from>
      <xdr:col>38</xdr:col>
      <xdr:colOff>152400</xdr:colOff>
      <xdr:row>1</xdr:row>
      <xdr:rowOff>28575</xdr:rowOff>
    </xdr:from>
    <xdr:to>
      <xdr:col>51</xdr:col>
      <xdr:colOff>14605</xdr:colOff>
      <xdr:row>7</xdr:row>
      <xdr:rowOff>130447</xdr:rowOff>
    </xdr:to>
    <xdr:pic>
      <xdr:nvPicPr>
        <xdr:cNvPr id="4" name="図 3">
          <a:extLst>
            <a:ext uri="{FF2B5EF4-FFF2-40B4-BE49-F238E27FC236}">
              <a16:creationId xmlns:a16="http://schemas.microsoft.com/office/drawing/2014/main" id="{41092DDA-8FEB-4DE0-A015-E152438AA48F}"/>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4862" t="1746" r="-111" b="70823"/>
        <a:stretch/>
      </xdr:blipFill>
      <xdr:spPr bwMode="auto">
        <a:xfrm>
          <a:off x="7086600" y="200025"/>
          <a:ext cx="2105025" cy="1102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3175</xdr:colOff>
      <xdr:row>10</xdr:row>
      <xdr:rowOff>9525</xdr:rowOff>
    </xdr:from>
    <xdr:to>
      <xdr:col>49</xdr:col>
      <xdr:colOff>127594</xdr:colOff>
      <xdr:row>14</xdr:row>
      <xdr:rowOff>139065</xdr:rowOff>
    </xdr:to>
    <xdr:pic>
      <xdr:nvPicPr>
        <xdr:cNvPr id="5" name="図 4">
          <a:extLst>
            <a:ext uri="{FF2B5EF4-FFF2-40B4-BE49-F238E27FC236}">
              <a16:creationId xmlns:a16="http://schemas.microsoft.com/office/drawing/2014/main" id="{C1180E19-D0E9-48B5-B68B-3392FD71666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137525" y="1685925"/>
          <a:ext cx="807044" cy="812800"/>
        </a:xfrm>
        <a:prstGeom prst="rect">
          <a:avLst/>
        </a:prstGeom>
      </xdr:spPr>
    </xdr:pic>
    <xdr:clientData/>
  </xdr:twoCellAnchor>
  <xdr:oneCellAnchor>
    <xdr:from>
      <xdr:col>29</xdr:col>
      <xdr:colOff>114300</xdr:colOff>
      <xdr:row>10</xdr:row>
      <xdr:rowOff>76200</xdr:rowOff>
    </xdr:from>
    <xdr:ext cx="3460694" cy="1158241"/>
    <xdr:sp macro="" textlink="">
      <xdr:nvSpPr>
        <xdr:cNvPr id="6" name="テキスト ボックス 5">
          <a:extLst>
            <a:ext uri="{FF2B5EF4-FFF2-40B4-BE49-F238E27FC236}">
              <a16:creationId xmlns:a16="http://schemas.microsoft.com/office/drawing/2014/main" id="{528762DE-8F15-4328-8911-BC9702243451}"/>
            </a:ext>
          </a:extLst>
        </xdr:cNvPr>
        <xdr:cNvSpPr txBox="1"/>
      </xdr:nvSpPr>
      <xdr:spPr>
        <a:xfrm>
          <a:off x="5505450" y="1752600"/>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816-0912</a:t>
          </a:r>
          <a:r>
            <a:rPr kumimoji="1" lang="ja-JP" altLang="en-US" sz="1000" b="1">
              <a:latin typeface="HG丸ｺﾞｼｯｸM-PRO" panose="020F0600000000000000" pitchFamily="50" charset="-128"/>
              <a:ea typeface="HG丸ｺﾞｼｯｸM-PRO" panose="020F0600000000000000" pitchFamily="50" charset="-128"/>
            </a:rPr>
            <a:t>　福岡県大野城市御笠川</a:t>
          </a:r>
          <a:r>
            <a:rPr kumimoji="1" lang="en-US" altLang="ja-JP" sz="1000" b="1">
              <a:latin typeface="HG丸ｺﾞｼｯｸM-PRO" panose="020F0600000000000000" pitchFamily="50" charset="-128"/>
              <a:ea typeface="HG丸ｺﾞｼｯｸM-PRO" panose="020F0600000000000000" pitchFamily="50" charset="-128"/>
            </a:rPr>
            <a:t>6</a:t>
          </a:r>
          <a:r>
            <a:rPr kumimoji="1" lang="ja-JP" altLang="en-US" sz="1000" b="1">
              <a:latin typeface="HG丸ｺﾞｼｯｸM-PRO" panose="020F0600000000000000" pitchFamily="50" charset="-128"/>
              <a:ea typeface="HG丸ｺﾞｼｯｸM-PRO" panose="020F0600000000000000" pitchFamily="50" charset="-128"/>
            </a:rPr>
            <a:t>丁目</a:t>
          </a:r>
          <a:r>
            <a:rPr kumimoji="1" lang="en-US" altLang="ja-JP" sz="1000" b="1">
              <a:latin typeface="HG丸ｺﾞｼｯｸM-PRO" panose="020F0600000000000000" pitchFamily="50" charset="-128"/>
              <a:ea typeface="HG丸ｺﾞｼｯｸM-PRO" panose="020F0600000000000000" pitchFamily="50" charset="-128"/>
            </a:rPr>
            <a:t>2-5</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FAX:092-555-9217</a:t>
          </a:r>
        </a:p>
        <a:p>
          <a:endParaRPr kumimoji="1" lang="en-US" altLang="ja-JP" sz="1050" b="1">
            <a:latin typeface="HG丸ｺﾞｼｯｸM-PRO" panose="020F0600000000000000" pitchFamily="50" charset="-128"/>
            <a:ea typeface="HG丸ｺﾞｼｯｸM-PRO" panose="020F0600000000000000" pitchFamily="50" charset="-128"/>
          </a:endParaRPr>
        </a:p>
        <a:p>
          <a:endParaRPr kumimoji="1" lang="ja-JP" altLang="en-US" sz="1100">
            <a:latin typeface="HG丸ｺﾞｼｯｸM-PRO" panose="020F0600000000000000" pitchFamily="50" charset="-128"/>
            <a:ea typeface="HG丸ｺﾞｼｯｸM-PRO" panose="020F0600000000000000"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142875</xdr:colOff>
      <xdr:row>6</xdr:row>
      <xdr:rowOff>66675</xdr:rowOff>
    </xdr:from>
    <xdr:ext cx="184731" cy="264560"/>
    <xdr:sp macro="" textlink="">
      <xdr:nvSpPr>
        <xdr:cNvPr id="2" name="テキスト ボックス 1">
          <a:extLst>
            <a:ext uri="{FF2B5EF4-FFF2-40B4-BE49-F238E27FC236}">
              <a16:creationId xmlns:a16="http://schemas.microsoft.com/office/drawing/2014/main" id="{C964E1CB-02C8-60AB-176C-76EFE93573ED}"/>
            </a:ext>
          </a:extLst>
        </xdr:cNvPr>
        <xdr:cNvSpPr txBox="1"/>
      </xdr:nvSpPr>
      <xdr:spPr>
        <a:xfrm>
          <a:off x="4829175" y="2133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13</xdr:col>
      <xdr:colOff>537882</xdr:colOff>
      <xdr:row>18</xdr:row>
      <xdr:rowOff>67235</xdr:rowOff>
    </xdr:from>
    <xdr:to>
      <xdr:col>15</xdr:col>
      <xdr:colOff>56029</xdr:colOff>
      <xdr:row>20</xdr:row>
      <xdr:rowOff>191977</xdr:rowOff>
    </xdr:to>
    <xdr:pic>
      <xdr:nvPicPr>
        <xdr:cNvPr id="2" name="図 1" descr="アイコン が含まれている画像&#10;&#10;自動的に生成された説明">
          <a:extLst>
            <a:ext uri="{FF2B5EF4-FFF2-40B4-BE49-F238E27FC236}">
              <a16:creationId xmlns:a16="http://schemas.microsoft.com/office/drawing/2014/main" id="{69CF8B27-F427-45D9-AFA9-1FE534FFDCAA}"/>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6739907" y="5458385"/>
          <a:ext cx="889747" cy="6962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1019734</xdr:colOff>
      <xdr:row>0</xdr:row>
      <xdr:rowOff>89646</xdr:rowOff>
    </xdr:from>
    <xdr:ext cx="1725707" cy="683457"/>
    <xdr:sp macro="" textlink="">
      <xdr:nvSpPr>
        <xdr:cNvPr id="3" name="正方形/長方形 2">
          <a:extLst>
            <a:ext uri="{FF2B5EF4-FFF2-40B4-BE49-F238E27FC236}">
              <a16:creationId xmlns:a16="http://schemas.microsoft.com/office/drawing/2014/main" id="{424E2A00-B97F-42DF-9869-FBBD6F6B35E4}"/>
            </a:ext>
          </a:extLst>
        </xdr:cNvPr>
        <xdr:cNvSpPr/>
      </xdr:nvSpPr>
      <xdr:spPr>
        <a:xfrm>
          <a:off x="7925359"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4" name="正方形/長方形 3">
          <a:extLst>
            <a:ext uri="{FF2B5EF4-FFF2-40B4-BE49-F238E27FC236}">
              <a16:creationId xmlns:a16="http://schemas.microsoft.com/office/drawing/2014/main" id="{980F69CE-3129-4CF3-88DF-0CA70E850510}"/>
            </a:ext>
          </a:extLst>
        </xdr:cNvPr>
        <xdr:cNvSpPr/>
      </xdr:nvSpPr>
      <xdr:spPr>
        <a:xfrm>
          <a:off x="7925359"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5" name="正方形/長方形 4">
          <a:extLst>
            <a:ext uri="{FF2B5EF4-FFF2-40B4-BE49-F238E27FC236}">
              <a16:creationId xmlns:a16="http://schemas.microsoft.com/office/drawing/2014/main" id="{FCB291DB-5339-4490-9C9A-139CD82452FC}"/>
            </a:ext>
          </a:extLst>
        </xdr:cNvPr>
        <xdr:cNvSpPr/>
      </xdr:nvSpPr>
      <xdr:spPr>
        <a:xfrm>
          <a:off x="7925359"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6" name="正方形/長方形 5">
          <a:extLst>
            <a:ext uri="{FF2B5EF4-FFF2-40B4-BE49-F238E27FC236}">
              <a16:creationId xmlns:a16="http://schemas.microsoft.com/office/drawing/2014/main" id="{F69E4C5E-FC33-462C-9D85-C240AB708809}"/>
            </a:ext>
          </a:extLst>
        </xdr:cNvPr>
        <xdr:cNvSpPr/>
      </xdr:nvSpPr>
      <xdr:spPr>
        <a:xfrm>
          <a:off x="7925359"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7" name="正方形/長方形 6">
          <a:extLst>
            <a:ext uri="{FF2B5EF4-FFF2-40B4-BE49-F238E27FC236}">
              <a16:creationId xmlns:a16="http://schemas.microsoft.com/office/drawing/2014/main" id="{D0FA1715-320D-4930-BA3B-15EB38593810}"/>
            </a:ext>
          </a:extLst>
        </xdr:cNvPr>
        <xdr:cNvSpPr/>
      </xdr:nvSpPr>
      <xdr:spPr>
        <a:xfrm>
          <a:off x="7925359"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8" name="正方形/長方形 7">
          <a:extLst>
            <a:ext uri="{FF2B5EF4-FFF2-40B4-BE49-F238E27FC236}">
              <a16:creationId xmlns:a16="http://schemas.microsoft.com/office/drawing/2014/main" id="{FF8FF716-7EDA-4E77-A8FF-C30879F5E079}"/>
            </a:ext>
          </a:extLst>
        </xdr:cNvPr>
        <xdr:cNvSpPr/>
      </xdr:nvSpPr>
      <xdr:spPr>
        <a:xfrm>
          <a:off x="7925359"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9" name="正方形/長方形 8">
          <a:extLst>
            <a:ext uri="{FF2B5EF4-FFF2-40B4-BE49-F238E27FC236}">
              <a16:creationId xmlns:a16="http://schemas.microsoft.com/office/drawing/2014/main" id="{E5385687-D40F-4A2B-A4C9-288D9610D470}"/>
            </a:ext>
          </a:extLst>
        </xdr:cNvPr>
        <xdr:cNvSpPr/>
      </xdr:nvSpPr>
      <xdr:spPr>
        <a:xfrm>
          <a:off x="7925359"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10" name="正方形/長方形 9">
          <a:extLst>
            <a:ext uri="{FF2B5EF4-FFF2-40B4-BE49-F238E27FC236}">
              <a16:creationId xmlns:a16="http://schemas.microsoft.com/office/drawing/2014/main" id="{F7CFC7DF-FD1D-4B6A-B4F8-199A5F5E30A9}"/>
            </a:ext>
          </a:extLst>
        </xdr:cNvPr>
        <xdr:cNvSpPr/>
      </xdr:nvSpPr>
      <xdr:spPr>
        <a:xfrm>
          <a:off x="7925359"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1109381</xdr:colOff>
      <xdr:row>4</xdr:row>
      <xdr:rowOff>291352</xdr:rowOff>
    </xdr:from>
    <xdr:ext cx="1725707" cy="683457"/>
    <xdr:sp macro="" textlink="">
      <xdr:nvSpPr>
        <xdr:cNvPr id="11" name="正方形/長方形 10">
          <a:extLst>
            <a:ext uri="{FF2B5EF4-FFF2-40B4-BE49-F238E27FC236}">
              <a16:creationId xmlns:a16="http://schemas.microsoft.com/office/drawing/2014/main" id="{66108AC9-E7A1-4A44-9790-D51345469ED7}"/>
            </a:ext>
          </a:extLst>
        </xdr:cNvPr>
        <xdr:cNvSpPr/>
      </xdr:nvSpPr>
      <xdr:spPr>
        <a:xfrm>
          <a:off x="8015006" y="1672477"/>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1109381</xdr:colOff>
      <xdr:row>4</xdr:row>
      <xdr:rowOff>291352</xdr:rowOff>
    </xdr:from>
    <xdr:ext cx="1725707" cy="683457"/>
    <xdr:sp macro="" textlink="">
      <xdr:nvSpPr>
        <xdr:cNvPr id="12" name="正方形/長方形 11">
          <a:extLst>
            <a:ext uri="{FF2B5EF4-FFF2-40B4-BE49-F238E27FC236}">
              <a16:creationId xmlns:a16="http://schemas.microsoft.com/office/drawing/2014/main" id="{FA3BA99C-6666-459B-B754-200486AA1B97}"/>
            </a:ext>
          </a:extLst>
        </xdr:cNvPr>
        <xdr:cNvSpPr/>
      </xdr:nvSpPr>
      <xdr:spPr>
        <a:xfrm>
          <a:off x="8015006" y="1672477"/>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twoCellAnchor editAs="oneCell">
    <xdr:from>
      <xdr:col>6</xdr:col>
      <xdr:colOff>2624977</xdr:colOff>
      <xdr:row>0</xdr:row>
      <xdr:rowOff>33617</xdr:rowOff>
    </xdr:from>
    <xdr:to>
      <xdr:col>6</xdr:col>
      <xdr:colOff>3527812</xdr:colOff>
      <xdr:row>0</xdr:row>
      <xdr:rowOff>511520</xdr:rowOff>
    </xdr:to>
    <xdr:pic>
      <xdr:nvPicPr>
        <xdr:cNvPr id="13" name="図 12" descr="家具のあるリビングルーム&#10;&#10;中程度の精度で自動的に生成された説明">
          <a:extLst>
            <a:ext uri="{FF2B5EF4-FFF2-40B4-BE49-F238E27FC236}">
              <a16:creationId xmlns:a16="http://schemas.microsoft.com/office/drawing/2014/main" id="{8E624A33-8C5F-491E-B64C-536532CCF287}"/>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74862" t="1746" r="-111" b="70823"/>
        <a:stretch/>
      </xdr:blipFill>
      <xdr:spPr bwMode="auto">
        <a:xfrm>
          <a:off x="9530602" y="33617"/>
          <a:ext cx="912360" cy="477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6</xdr:col>
      <xdr:colOff>1019734</xdr:colOff>
      <xdr:row>0</xdr:row>
      <xdr:rowOff>89646</xdr:rowOff>
    </xdr:from>
    <xdr:ext cx="1725707" cy="683457"/>
    <xdr:sp macro="" textlink="">
      <xdr:nvSpPr>
        <xdr:cNvPr id="2" name="正方形/長方形 1">
          <a:extLst>
            <a:ext uri="{FF2B5EF4-FFF2-40B4-BE49-F238E27FC236}">
              <a16:creationId xmlns:a16="http://schemas.microsoft.com/office/drawing/2014/main" id="{BDA6837C-5B84-4DC3-8271-2E4EECE4A5E0}"/>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3" name="正方形/長方形 2">
          <a:extLst>
            <a:ext uri="{FF2B5EF4-FFF2-40B4-BE49-F238E27FC236}">
              <a16:creationId xmlns:a16="http://schemas.microsoft.com/office/drawing/2014/main" id="{5856BC62-1EEC-4044-948F-F1720309922C}"/>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4" name="正方形/長方形 3">
          <a:extLst>
            <a:ext uri="{FF2B5EF4-FFF2-40B4-BE49-F238E27FC236}">
              <a16:creationId xmlns:a16="http://schemas.microsoft.com/office/drawing/2014/main" id="{DA2061A3-635A-49CA-9E8A-33FFE85B10B8}"/>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5" name="正方形/長方形 4">
          <a:extLst>
            <a:ext uri="{FF2B5EF4-FFF2-40B4-BE49-F238E27FC236}">
              <a16:creationId xmlns:a16="http://schemas.microsoft.com/office/drawing/2014/main" id="{1F0F3536-1C80-4F85-B16A-9123C6400C9B}"/>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6" name="正方形/長方形 5">
          <a:extLst>
            <a:ext uri="{FF2B5EF4-FFF2-40B4-BE49-F238E27FC236}">
              <a16:creationId xmlns:a16="http://schemas.microsoft.com/office/drawing/2014/main" id="{70600501-10D4-483A-8DC2-509D1EF4FD16}"/>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7" name="正方形/長方形 6">
          <a:extLst>
            <a:ext uri="{FF2B5EF4-FFF2-40B4-BE49-F238E27FC236}">
              <a16:creationId xmlns:a16="http://schemas.microsoft.com/office/drawing/2014/main" id="{2EAB8F90-F523-4A24-83A9-E3317C23F25C}"/>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8" name="正方形/長方形 7">
          <a:extLst>
            <a:ext uri="{FF2B5EF4-FFF2-40B4-BE49-F238E27FC236}">
              <a16:creationId xmlns:a16="http://schemas.microsoft.com/office/drawing/2014/main" id="{F1A62693-6944-4DE9-B1F2-C8B48680FFF3}"/>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9" name="正方形/長方形 8">
          <a:extLst>
            <a:ext uri="{FF2B5EF4-FFF2-40B4-BE49-F238E27FC236}">
              <a16:creationId xmlns:a16="http://schemas.microsoft.com/office/drawing/2014/main" id="{60D61260-0C54-4AE9-AC8D-8BBDBE6011BD}"/>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1109381</xdr:colOff>
      <xdr:row>4</xdr:row>
      <xdr:rowOff>291352</xdr:rowOff>
    </xdr:from>
    <xdr:ext cx="1725707" cy="683457"/>
    <xdr:sp macro="" textlink="">
      <xdr:nvSpPr>
        <xdr:cNvPr id="10" name="正方形/長方形 9">
          <a:extLst>
            <a:ext uri="{FF2B5EF4-FFF2-40B4-BE49-F238E27FC236}">
              <a16:creationId xmlns:a16="http://schemas.microsoft.com/office/drawing/2014/main" id="{F989BC10-D709-407A-A9B2-915E8B0CB974}"/>
            </a:ext>
          </a:extLst>
        </xdr:cNvPr>
        <xdr:cNvSpPr/>
      </xdr:nvSpPr>
      <xdr:spPr>
        <a:xfrm>
          <a:off x="8020721" y="1693432"/>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1109381</xdr:colOff>
      <xdr:row>4</xdr:row>
      <xdr:rowOff>291352</xdr:rowOff>
    </xdr:from>
    <xdr:ext cx="1725707" cy="683457"/>
    <xdr:sp macro="" textlink="">
      <xdr:nvSpPr>
        <xdr:cNvPr id="11" name="正方形/長方形 10">
          <a:extLst>
            <a:ext uri="{FF2B5EF4-FFF2-40B4-BE49-F238E27FC236}">
              <a16:creationId xmlns:a16="http://schemas.microsoft.com/office/drawing/2014/main" id="{68A99E23-1C29-489F-BC80-42312BC00528}"/>
            </a:ext>
          </a:extLst>
        </xdr:cNvPr>
        <xdr:cNvSpPr/>
      </xdr:nvSpPr>
      <xdr:spPr>
        <a:xfrm>
          <a:off x="8020721" y="1693432"/>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twoCellAnchor editAs="oneCell">
    <xdr:from>
      <xdr:col>6</xdr:col>
      <xdr:colOff>2624977</xdr:colOff>
      <xdr:row>0</xdr:row>
      <xdr:rowOff>33617</xdr:rowOff>
    </xdr:from>
    <xdr:to>
      <xdr:col>6</xdr:col>
      <xdr:colOff>3527812</xdr:colOff>
      <xdr:row>0</xdr:row>
      <xdr:rowOff>511520</xdr:rowOff>
    </xdr:to>
    <xdr:pic>
      <xdr:nvPicPr>
        <xdr:cNvPr id="12" name="図 11" descr="家具のあるリビングルーム&#10;&#10;中程度の精度で自動的に生成された説明">
          <a:extLst>
            <a:ext uri="{FF2B5EF4-FFF2-40B4-BE49-F238E27FC236}">
              <a16:creationId xmlns:a16="http://schemas.microsoft.com/office/drawing/2014/main" id="{27D04B40-4D5F-4B38-8CD3-4669E9ACD31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4862" t="1746" r="-111" b="70823"/>
        <a:stretch/>
      </xdr:blipFill>
      <xdr:spPr bwMode="auto">
        <a:xfrm>
          <a:off x="9536317" y="33617"/>
          <a:ext cx="902835" cy="477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6</xdr:col>
      <xdr:colOff>1019734</xdr:colOff>
      <xdr:row>0</xdr:row>
      <xdr:rowOff>89646</xdr:rowOff>
    </xdr:from>
    <xdr:ext cx="1725707" cy="683457"/>
    <xdr:sp macro="" textlink="">
      <xdr:nvSpPr>
        <xdr:cNvPr id="3" name="正方形/長方形 2">
          <a:extLst>
            <a:ext uri="{FF2B5EF4-FFF2-40B4-BE49-F238E27FC236}">
              <a16:creationId xmlns:a16="http://schemas.microsoft.com/office/drawing/2014/main" id="{BE9A8B05-5CCF-43AB-8DAA-51F7396E0729}"/>
            </a:ext>
          </a:extLst>
        </xdr:cNvPr>
        <xdr:cNvSpPr/>
      </xdr:nvSpPr>
      <xdr:spPr>
        <a:xfrm>
          <a:off x="7923454" y="9345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4" name="正方形/長方形 3">
          <a:extLst>
            <a:ext uri="{FF2B5EF4-FFF2-40B4-BE49-F238E27FC236}">
              <a16:creationId xmlns:a16="http://schemas.microsoft.com/office/drawing/2014/main" id="{54EDA7EB-4EB6-4BFF-970A-5D9E1FD9B043}"/>
            </a:ext>
          </a:extLst>
        </xdr:cNvPr>
        <xdr:cNvSpPr/>
      </xdr:nvSpPr>
      <xdr:spPr>
        <a:xfrm>
          <a:off x="7923454" y="9345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5" name="正方形/長方形 4">
          <a:extLst>
            <a:ext uri="{FF2B5EF4-FFF2-40B4-BE49-F238E27FC236}">
              <a16:creationId xmlns:a16="http://schemas.microsoft.com/office/drawing/2014/main" id="{8ED4EAE5-4AC5-49B8-93FE-20E6F965178E}"/>
            </a:ext>
          </a:extLst>
        </xdr:cNvPr>
        <xdr:cNvSpPr/>
      </xdr:nvSpPr>
      <xdr:spPr>
        <a:xfrm>
          <a:off x="7923454" y="9345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6" name="正方形/長方形 5">
          <a:extLst>
            <a:ext uri="{FF2B5EF4-FFF2-40B4-BE49-F238E27FC236}">
              <a16:creationId xmlns:a16="http://schemas.microsoft.com/office/drawing/2014/main" id="{D340B284-E90E-4216-9D31-6737A7935FE5}"/>
            </a:ext>
          </a:extLst>
        </xdr:cNvPr>
        <xdr:cNvSpPr/>
      </xdr:nvSpPr>
      <xdr:spPr>
        <a:xfrm>
          <a:off x="7923454" y="9345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7" name="正方形/長方形 6">
          <a:extLst>
            <a:ext uri="{FF2B5EF4-FFF2-40B4-BE49-F238E27FC236}">
              <a16:creationId xmlns:a16="http://schemas.microsoft.com/office/drawing/2014/main" id="{86DCD87D-033D-4120-92DB-41D1536A2727}"/>
            </a:ext>
          </a:extLst>
        </xdr:cNvPr>
        <xdr:cNvSpPr/>
      </xdr:nvSpPr>
      <xdr:spPr>
        <a:xfrm>
          <a:off x="7923454" y="9345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8" name="正方形/長方形 7">
          <a:extLst>
            <a:ext uri="{FF2B5EF4-FFF2-40B4-BE49-F238E27FC236}">
              <a16:creationId xmlns:a16="http://schemas.microsoft.com/office/drawing/2014/main" id="{72CD9869-2E37-4A53-88ED-A610B4EBF7B9}"/>
            </a:ext>
          </a:extLst>
        </xdr:cNvPr>
        <xdr:cNvSpPr/>
      </xdr:nvSpPr>
      <xdr:spPr>
        <a:xfrm>
          <a:off x="7923454" y="9345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9" name="正方形/長方形 8">
          <a:extLst>
            <a:ext uri="{FF2B5EF4-FFF2-40B4-BE49-F238E27FC236}">
              <a16:creationId xmlns:a16="http://schemas.microsoft.com/office/drawing/2014/main" id="{F2B4F7B6-1C96-41F8-A6DB-017BD9433CF9}"/>
            </a:ext>
          </a:extLst>
        </xdr:cNvPr>
        <xdr:cNvSpPr/>
      </xdr:nvSpPr>
      <xdr:spPr>
        <a:xfrm>
          <a:off x="7923454" y="9345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10" name="正方形/長方形 9">
          <a:extLst>
            <a:ext uri="{FF2B5EF4-FFF2-40B4-BE49-F238E27FC236}">
              <a16:creationId xmlns:a16="http://schemas.microsoft.com/office/drawing/2014/main" id="{ABDDB175-FB1B-4315-99CA-C17061DA6CB0}"/>
            </a:ext>
          </a:extLst>
        </xdr:cNvPr>
        <xdr:cNvSpPr/>
      </xdr:nvSpPr>
      <xdr:spPr>
        <a:xfrm>
          <a:off x="7923454" y="9345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1109381</xdr:colOff>
      <xdr:row>4</xdr:row>
      <xdr:rowOff>291352</xdr:rowOff>
    </xdr:from>
    <xdr:ext cx="1725707" cy="683457"/>
    <xdr:sp macro="" textlink="">
      <xdr:nvSpPr>
        <xdr:cNvPr id="11" name="正方形/長方形 10">
          <a:extLst>
            <a:ext uri="{FF2B5EF4-FFF2-40B4-BE49-F238E27FC236}">
              <a16:creationId xmlns:a16="http://schemas.microsoft.com/office/drawing/2014/main" id="{FF856150-8DB1-42E0-BCBE-05B4EA9A807F}"/>
            </a:ext>
          </a:extLst>
        </xdr:cNvPr>
        <xdr:cNvSpPr/>
      </xdr:nvSpPr>
      <xdr:spPr>
        <a:xfrm>
          <a:off x="8016911" y="1678192"/>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1109381</xdr:colOff>
      <xdr:row>4</xdr:row>
      <xdr:rowOff>291352</xdr:rowOff>
    </xdr:from>
    <xdr:ext cx="1725707" cy="683457"/>
    <xdr:sp macro="" textlink="">
      <xdr:nvSpPr>
        <xdr:cNvPr id="12" name="正方形/長方形 11">
          <a:extLst>
            <a:ext uri="{FF2B5EF4-FFF2-40B4-BE49-F238E27FC236}">
              <a16:creationId xmlns:a16="http://schemas.microsoft.com/office/drawing/2014/main" id="{05A40E2A-A01F-4CB2-9229-7E95906171CD}"/>
            </a:ext>
          </a:extLst>
        </xdr:cNvPr>
        <xdr:cNvSpPr/>
      </xdr:nvSpPr>
      <xdr:spPr>
        <a:xfrm>
          <a:off x="8016911" y="1678192"/>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twoCellAnchor editAs="oneCell">
    <xdr:from>
      <xdr:col>6</xdr:col>
      <xdr:colOff>2624978</xdr:colOff>
      <xdr:row>0</xdr:row>
      <xdr:rowOff>42581</xdr:rowOff>
    </xdr:from>
    <xdr:to>
      <xdr:col>6</xdr:col>
      <xdr:colOff>3527813</xdr:colOff>
      <xdr:row>0</xdr:row>
      <xdr:rowOff>520484</xdr:rowOff>
    </xdr:to>
    <xdr:pic>
      <xdr:nvPicPr>
        <xdr:cNvPr id="13" name="図 12" descr="家具のあるリビングルーム&#10;&#10;中程度の精度で自動的に生成された説明">
          <a:extLst>
            <a:ext uri="{FF2B5EF4-FFF2-40B4-BE49-F238E27FC236}">
              <a16:creationId xmlns:a16="http://schemas.microsoft.com/office/drawing/2014/main" id="{60EC33A0-8219-49E2-8262-41192ED72E75}"/>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4862" t="1746" r="-111" b="70823"/>
        <a:stretch/>
      </xdr:blipFill>
      <xdr:spPr bwMode="auto">
        <a:xfrm>
          <a:off x="9536766" y="42581"/>
          <a:ext cx="902835" cy="477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6</xdr:col>
      <xdr:colOff>1019734</xdr:colOff>
      <xdr:row>0</xdr:row>
      <xdr:rowOff>89646</xdr:rowOff>
    </xdr:from>
    <xdr:ext cx="1725707" cy="683457"/>
    <xdr:sp macro="" textlink="">
      <xdr:nvSpPr>
        <xdr:cNvPr id="2" name="正方形/長方形 1">
          <a:extLst>
            <a:ext uri="{FF2B5EF4-FFF2-40B4-BE49-F238E27FC236}">
              <a16:creationId xmlns:a16="http://schemas.microsoft.com/office/drawing/2014/main" id="{F7E3BDAB-C13C-4C1B-BF4B-58D9461EA32B}"/>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3" name="正方形/長方形 2">
          <a:extLst>
            <a:ext uri="{FF2B5EF4-FFF2-40B4-BE49-F238E27FC236}">
              <a16:creationId xmlns:a16="http://schemas.microsoft.com/office/drawing/2014/main" id="{DD6D42A3-046B-406A-A4AD-0E1FC383B0D4}"/>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4" name="正方形/長方形 3">
          <a:extLst>
            <a:ext uri="{FF2B5EF4-FFF2-40B4-BE49-F238E27FC236}">
              <a16:creationId xmlns:a16="http://schemas.microsoft.com/office/drawing/2014/main" id="{02B7D37A-396D-4C4F-BA49-6D98BE89F4A9}"/>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5" name="正方形/長方形 4">
          <a:extLst>
            <a:ext uri="{FF2B5EF4-FFF2-40B4-BE49-F238E27FC236}">
              <a16:creationId xmlns:a16="http://schemas.microsoft.com/office/drawing/2014/main" id="{FF30EFFE-EB94-4004-AF19-9572084282EB}"/>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6" name="正方形/長方形 5">
          <a:extLst>
            <a:ext uri="{FF2B5EF4-FFF2-40B4-BE49-F238E27FC236}">
              <a16:creationId xmlns:a16="http://schemas.microsoft.com/office/drawing/2014/main" id="{0D650E9E-C901-45BA-918D-8F76FFA3E1EB}"/>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7" name="正方形/長方形 6">
          <a:extLst>
            <a:ext uri="{FF2B5EF4-FFF2-40B4-BE49-F238E27FC236}">
              <a16:creationId xmlns:a16="http://schemas.microsoft.com/office/drawing/2014/main" id="{E468C84C-B446-4431-95B7-641EDD1CB2E2}"/>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8" name="正方形/長方形 7">
          <a:extLst>
            <a:ext uri="{FF2B5EF4-FFF2-40B4-BE49-F238E27FC236}">
              <a16:creationId xmlns:a16="http://schemas.microsoft.com/office/drawing/2014/main" id="{906A4898-B7AC-49FD-B0F1-D56B19EB917F}"/>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1019734</xdr:colOff>
      <xdr:row>0</xdr:row>
      <xdr:rowOff>89646</xdr:rowOff>
    </xdr:from>
    <xdr:ext cx="1725707" cy="683457"/>
    <xdr:sp macro="" textlink="">
      <xdr:nvSpPr>
        <xdr:cNvPr id="9" name="正方形/長方形 8">
          <a:extLst>
            <a:ext uri="{FF2B5EF4-FFF2-40B4-BE49-F238E27FC236}">
              <a16:creationId xmlns:a16="http://schemas.microsoft.com/office/drawing/2014/main" id="{5E3CA471-F92C-4C97-A53F-49A9E503437C}"/>
            </a:ext>
          </a:extLst>
        </xdr:cNvPr>
        <xdr:cNvSpPr/>
      </xdr:nvSpPr>
      <xdr:spPr>
        <a:xfrm>
          <a:off x="7931074" y="89646"/>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1109381</xdr:colOff>
      <xdr:row>4</xdr:row>
      <xdr:rowOff>291352</xdr:rowOff>
    </xdr:from>
    <xdr:ext cx="1725707" cy="683457"/>
    <xdr:sp macro="" textlink="">
      <xdr:nvSpPr>
        <xdr:cNvPr id="10" name="正方形/長方形 9">
          <a:extLst>
            <a:ext uri="{FF2B5EF4-FFF2-40B4-BE49-F238E27FC236}">
              <a16:creationId xmlns:a16="http://schemas.microsoft.com/office/drawing/2014/main" id="{8B3A145F-BF61-424E-9E0B-33FE9B475BC4}"/>
            </a:ext>
          </a:extLst>
        </xdr:cNvPr>
        <xdr:cNvSpPr/>
      </xdr:nvSpPr>
      <xdr:spPr>
        <a:xfrm>
          <a:off x="8020721" y="1693432"/>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oneCellAnchor>
    <xdr:from>
      <xdr:col>6</xdr:col>
      <xdr:colOff>1109381</xdr:colOff>
      <xdr:row>4</xdr:row>
      <xdr:rowOff>291352</xdr:rowOff>
    </xdr:from>
    <xdr:ext cx="1725707" cy="683457"/>
    <xdr:sp macro="" textlink="">
      <xdr:nvSpPr>
        <xdr:cNvPr id="11" name="正方形/長方形 10">
          <a:extLst>
            <a:ext uri="{FF2B5EF4-FFF2-40B4-BE49-F238E27FC236}">
              <a16:creationId xmlns:a16="http://schemas.microsoft.com/office/drawing/2014/main" id="{D6146C16-6A4B-4119-99C9-7A8ADDC07240}"/>
            </a:ext>
          </a:extLst>
        </xdr:cNvPr>
        <xdr:cNvSpPr/>
      </xdr:nvSpPr>
      <xdr:spPr>
        <a:xfrm>
          <a:off x="8020721" y="1693432"/>
          <a:ext cx="1725707" cy="683457"/>
        </a:xfrm>
        <a:prstGeom prst="rect">
          <a:avLst/>
        </a:prstGeom>
        <a:noFill/>
      </xdr:spPr>
      <xdr:txBody>
        <a:bodyPr wrap="square" lIns="91440" tIns="45720" rIns="91440" bIns="45720">
          <a:spAutoFit/>
        </a:bodyPr>
        <a:lstStyle/>
        <a:p>
          <a:pPr algn="ctr"/>
          <a:endParaRPr lang="en-US" altLang="ja-JP" sz="1800" b="0" cap="none" spc="0">
            <a:ln w="0"/>
            <a:solidFill>
              <a:schemeClr val="tx1"/>
            </a:solidFill>
            <a:effectLst>
              <a:outerShdw blurRad="38100" dist="19050" dir="2700000" algn="tl" rotWithShape="0">
                <a:schemeClr val="dk1">
                  <a:alpha val="40000"/>
                </a:schemeClr>
              </a:outerShdw>
            </a:effectLst>
            <a:latin typeface="Albertus Extra Bold" panose="020E0802040304020204" pitchFamily="34" charset="0"/>
            <a:ea typeface="+mn-ea"/>
          </a:endParaRPr>
        </a:p>
        <a:p>
          <a:pPr algn="ctr"/>
          <a:endParaRPr lang="ja-JP" altLang="en-US" sz="1800" b="0" cap="none" spc="0">
            <a:ln w="0"/>
            <a:solidFill>
              <a:schemeClr val="tx1"/>
            </a:solidFill>
            <a:effectLst>
              <a:outerShdw blurRad="38100" dist="19050" dir="2700000" algn="tl" rotWithShape="0">
                <a:schemeClr val="dk1">
                  <a:alpha val="40000"/>
                </a:schemeClr>
              </a:outerShdw>
            </a:effectLst>
            <a:latin typeface="HG創英角ｺﾞｼｯｸUB" panose="020B0909000000000000" pitchFamily="49" charset="-128"/>
            <a:ea typeface="HG創英角ｺﾞｼｯｸUB" panose="020B0909000000000000" pitchFamily="49" charset="-128"/>
          </a:endParaRPr>
        </a:p>
      </xdr:txBody>
    </xdr:sp>
    <xdr:clientData/>
  </xdr:oneCellAnchor>
  <xdr:twoCellAnchor editAs="oneCell">
    <xdr:from>
      <xdr:col>6</xdr:col>
      <xdr:colOff>2624977</xdr:colOff>
      <xdr:row>0</xdr:row>
      <xdr:rowOff>33617</xdr:rowOff>
    </xdr:from>
    <xdr:to>
      <xdr:col>6</xdr:col>
      <xdr:colOff>3527812</xdr:colOff>
      <xdr:row>0</xdr:row>
      <xdr:rowOff>511520</xdr:rowOff>
    </xdr:to>
    <xdr:pic>
      <xdr:nvPicPr>
        <xdr:cNvPr id="12" name="図 11" descr="家具のあるリビングルーム&#10;&#10;中程度の精度で自動的に生成された説明">
          <a:extLst>
            <a:ext uri="{FF2B5EF4-FFF2-40B4-BE49-F238E27FC236}">
              <a16:creationId xmlns:a16="http://schemas.microsoft.com/office/drawing/2014/main" id="{7647E6A3-5F76-401E-BBF5-92111C38F4B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4862" t="1746" r="-111" b="70823"/>
        <a:stretch/>
      </xdr:blipFill>
      <xdr:spPr bwMode="auto">
        <a:xfrm>
          <a:off x="9536317" y="33617"/>
          <a:ext cx="902835" cy="477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63</xdr:col>
      <xdr:colOff>95250</xdr:colOff>
      <xdr:row>16</xdr:row>
      <xdr:rowOff>98425</xdr:rowOff>
    </xdr:from>
    <xdr:ext cx="3460694" cy="1158241"/>
    <xdr:sp macro="" textlink="">
      <xdr:nvSpPr>
        <xdr:cNvPr id="2" name="テキスト ボックス 1">
          <a:extLst>
            <a:ext uri="{FF2B5EF4-FFF2-40B4-BE49-F238E27FC236}">
              <a16:creationId xmlns:a16="http://schemas.microsoft.com/office/drawing/2014/main" id="{9C7728AD-8C85-4F02-8DF2-552A60B50951}"/>
            </a:ext>
          </a:extLst>
        </xdr:cNvPr>
        <xdr:cNvSpPr txBox="1"/>
      </xdr:nvSpPr>
      <xdr:spPr>
        <a:xfrm>
          <a:off x="11083290" y="2734945"/>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816-0103</a:t>
          </a:r>
          <a:r>
            <a:rPr kumimoji="1" lang="ja-JP" altLang="en-US" sz="1000" b="1">
              <a:latin typeface="HG丸ｺﾞｼｯｸM-PRO" panose="020F0600000000000000" pitchFamily="50" charset="-128"/>
              <a:ea typeface="HG丸ｺﾞｼｯｸM-PRO" panose="020F0600000000000000" pitchFamily="50" charset="-128"/>
            </a:rPr>
            <a:t>　福岡県太宰府市朱雀</a:t>
          </a:r>
          <a:r>
            <a:rPr kumimoji="1" lang="en-US" altLang="ja-JP" sz="1000" b="1">
              <a:latin typeface="HG丸ｺﾞｼｯｸM-PRO" panose="020F0600000000000000" pitchFamily="50" charset="-128"/>
              <a:ea typeface="HG丸ｺﾞｼｯｸM-PRO" panose="020F0600000000000000" pitchFamily="50" charset="-128"/>
            </a:rPr>
            <a:t>5-4-27</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FAX:092-555-9217</a:t>
          </a:r>
        </a:p>
        <a:p>
          <a:endParaRPr kumimoji="1" lang="en-US" altLang="ja-JP" sz="1050" b="1">
            <a:latin typeface="HG丸ｺﾞｼｯｸM-PRO" panose="020F0600000000000000" pitchFamily="50" charset="-128"/>
            <a:ea typeface="HG丸ｺﾞｼｯｸM-PRO" panose="020F0600000000000000" pitchFamily="50" charset="-128"/>
          </a:endParaRPr>
        </a:p>
        <a:p>
          <a:endParaRPr kumimoji="1" lang="ja-JP" altLang="en-US" sz="1100">
            <a:latin typeface="HG丸ｺﾞｼｯｸM-PRO" panose="020F0600000000000000" pitchFamily="50" charset="-128"/>
            <a:ea typeface="HG丸ｺﾞｼｯｸM-PRO" panose="020F0600000000000000" pitchFamily="50" charset="-128"/>
          </a:endParaRPr>
        </a:p>
      </xdr:txBody>
    </xdr:sp>
    <xdr:clientData/>
  </xdr:oneCellAnchor>
  <xdr:twoCellAnchor editAs="oneCell">
    <xdr:from>
      <xdr:col>56</xdr:col>
      <xdr:colOff>65087</xdr:colOff>
      <xdr:row>9</xdr:row>
      <xdr:rowOff>122237</xdr:rowOff>
    </xdr:from>
    <xdr:to>
      <xdr:col>59</xdr:col>
      <xdr:colOff>46989</xdr:colOff>
      <xdr:row>12</xdr:row>
      <xdr:rowOff>120649</xdr:rowOff>
    </xdr:to>
    <xdr:pic>
      <xdr:nvPicPr>
        <xdr:cNvPr id="3" name="図 2">
          <a:extLst>
            <a:ext uri="{FF2B5EF4-FFF2-40B4-BE49-F238E27FC236}">
              <a16:creationId xmlns:a16="http://schemas.microsoft.com/office/drawing/2014/main" id="{6362EE21-53FC-462D-A0C1-955BF1325383}"/>
            </a:ext>
          </a:extLst>
        </xdr:cNvPr>
        <xdr:cNvPicPr>
          <a:picLocks noChangeAspect="1"/>
        </xdr:cNvPicPr>
      </xdr:nvPicPr>
      <xdr:blipFill>
        <a:blip xmlns:r="http://schemas.openxmlformats.org/officeDocument/2006/relationships" r:embed="rId1" cstate="print"/>
        <a:stretch>
          <a:fillRect/>
        </a:stretch>
      </xdr:blipFill>
      <xdr:spPr>
        <a:xfrm>
          <a:off x="9879647" y="1592897"/>
          <a:ext cx="484822" cy="501332"/>
        </a:xfrm>
        <a:prstGeom prst="rect">
          <a:avLst/>
        </a:prstGeom>
      </xdr:spPr>
    </xdr:pic>
    <xdr:clientData/>
  </xdr:twoCellAnchor>
  <xdr:twoCellAnchor editAs="oneCell">
    <xdr:from>
      <xdr:col>38</xdr:col>
      <xdr:colOff>152400</xdr:colOff>
      <xdr:row>1</xdr:row>
      <xdr:rowOff>28575</xdr:rowOff>
    </xdr:from>
    <xdr:to>
      <xdr:col>51</xdr:col>
      <xdr:colOff>28575</xdr:colOff>
      <xdr:row>7</xdr:row>
      <xdr:rowOff>140607</xdr:rowOff>
    </xdr:to>
    <xdr:pic>
      <xdr:nvPicPr>
        <xdr:cNvPr id="4" name="図 3">
          <a:extLst>
            <a:ext uri="{FF2B5EF4-FFF2-40B4-BE49-F238E27FC236}">
              <a16:creationId xmlns:a16="http://schemas.microsoft.com/office/drawing/2014/main" id="{D5CF7943-31F9-408C-B0B6-775B5A68BC37}"/>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4862" t="1746" r="-111" b="70823"/>
        <a:stretch/>
      </xdr:blipFill>
      <xdr:spPr bwMode="auto">
        <a:xfrm>
          <a:off x="6949440" y="196215"/>
          <a:ext cx="2055495" cy="1079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3175</xdr:colOff>
      <xdr:row>10</xdr:row>
      <xdr:rowOff>9525</xdr:rowOff>
    </xdr:from>
    <xdr:to>
      <xdr:col>49</xdr:col>
      <xdr:colOff>124419</xdr:colOff>
      <xdr:row>14</xdr:row>
      <xdr:rowOff>136525</xdr:rowOff>
    </xdr:to>
    <xdr:pic>
      <xdr:nvPicPr>
        <xdr:cNvPr id="5" name="図 4">
          <a:extLst>
            <a:ext uri="{FF2B5EF4-FFF2-40B4-BE49-F238E27FC236}">
              <a16:creationId xmlns:a16="http://schemas.microsoft.com/office/drawing/2014/main" id="{9C20BE36-E438-45F8-BD94-BE3C8A8D31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73695" y="1647825"/>
          <a:ext cx="791804" cy="797560"/>
        </a:xfrm>
        <a:prstGeom prst="rect">
          <a:avLst/>
        </a:prstGeom>
      </xdr:spPr>
    </xdr:pic>
    <xdr:clientData/>
  </xdr:twoCellAnchor>
  <xdr:oneCellAnchor>
    <xdr:from>
      <xdr:col>29</xdr:col>
      <xdr:colOff>38100</xdr:colOff>
      <xdr:row>10</xdr:row>
      <xdr:rowOff>76200</xdr:rowOff>
    </xdr:from>
    <xdr:ext cx="3460694" cy="1158241"/>
    <xdr:sp macro="" textlink="">
      <xdr:nvSpPr>
        <xdr:cNvPr id="6" name="テキスト ボックス 5">
          <a:extLst>
            <a:ext uri="{FF2B5EF4-FFF2-40B4-BE49-F238E27FC236}">
              <a16:creationId xmlns:a16="http://schemas.microsoft.com/office/drawing/2014/main" id="{659302B6-7132-4C5D-95EF-6C0DD26E37D8}"/>
            </a:ext>
          </a:extLst>
        </xdr:cNvPr>
        <xdr:cNvSpPr txBox="1"/>
      </xdr:nvSpPr>
      <xdr:spPr>
        <a:xfrm>
          <a:off x="5326380" y="1714500"/>
          <a:ext cx="3460694" cy="11582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600" b="1">
              <a:latin typeface="HG丸ｺﾞｼｯｸM-PRO" panose="020F0600000000000000" pitchFamily="50" charset="-128"/>
              <a:ea typeface="HG丸ｺﾞｼｯｸM-PRO" panose="020F0600000000000000" pitchFamily="50" charset="-128"/>
            </a:rPr>
            <a:t>株式会社　サンユウテック</a:t>
          </a:r>
          <a:endParaRPr kumimoji="1" lang="en-US" altLang="ja-JP" sz="1600" b="1">
            <a:latin typeface="HG丸ｺﾞｼｯｸM-PRO" panose="020F0600000000000000" pitchFamily="50" charset="-128"/>
            <a:ea typeface="HG丸ｺﾞｼｯｸM-PRO" panose="020F0600000000000000" pitchFamily="50" charset="-128"/>
          </a:endParaRPr>
        </a:p>
        <a:p>
          <a:r>
            <a:rPr kumimoji="1" lang="ja-JP" altLang="en-US" sz="1050" b="1">
              <a:latin typeface="HG丸ｺﾞｼｯｸM-PRO" panose="020F0600000000000000" pitchFamily="50" charset="-128"/>
              <a:ea typeface="HG丸ｺﾞｼｯｸM-PRO" panose="020F0600000000000000" pitchFamily="50" charset="-128"/>
            </a:rPr>
            <a:t>　　　　　</a:t>
          </a:r>
        </a:p>
        <a:p>
          <a:r>
            <a:rPr kumimoji="1" lang="ja-JP" altLang="en-US" sz="1000" b="1">
              <a:latin typeface="HG丸ｺﾞｼｯｸM-PRO" panose="020F0600000000000000" pitchFamily="50" charset="-128"/>
              <a:ea typeface="HG丸ｺﾞｼｯｸM-PRO" panose="020F0600000000000000" pitchFamily="50" charset="-128"/>
            </a:rPr>
            <a:t>〒</a:t>
          </a:r>
          <a:r>
            <a:rPr kumimoji="1" lang="en-US" altLang="ja-JP" sz="1000" b="1">
              <a:latin typeface="HG丸ｺﾞｼｯｸM-PRO" panose="020F0600000000000000" pitchFamily="50" charset="-128"/>
              <a:ea typeface="HG丸ｺﾞｼｯｸM-PRO" panose="020F0600000000000000" pitchFamily="50" charset="-128"/>
            </a:rPr>
            <a:t>816-0912</a:t>
          </a:r>
          <a:r>
            <a:rPr kumimoji="1" lang="ja-JP" altLang="en-US" sz="1000" b="1">
              <a:latin typeface="HG丸ｺﾞｼｯｸM-PRO" panose="020F0600000000000000" pitchFamily="50" charset="-128"/>
              <a:ea typeface="HG丸ｺﾞｼｯｸM-PRO" panose="020F0600000000000000" pitchFamily="50" charset="-128"/>
            </a:rPr>
            <a:t>　福岡県大野城市御笠川</a:t>
          </a:r>
          <a:r>
            <a:rPr kumimoji="1" lang="en-US" altLang="ja-JP" sz="1000" b="1">
              <a:latin typeface="HG丸ｺﾞｼｯｸM-PRO" panose="020F0600000000000000" pitchFamily="50" charset="-128"/>
              <a:ea typeface="HG丸ｺﾞｼｯｸM-PRO" panose="020F0600000000000000" pitchFamily="50" charset="-128"/>
            </a:rPr>
            <a:t>6</a:t>
          </a:r>
          <a:r>
            <a:rPr kumimoji="1" lang="ja-JP" altLang="en-US" sz="1000" b="1">
              <a:latin typeface="HG丸ｺﾞｼｯｸM-PRO" panose="020F0600000000000000" pitchFamily="50" charset="-128"/>
              <a:ea typeface="HG丸ｺﾞｼｯｸM-PRO" panose="020F0600000000000000" pitchFamily="50" charset="-128"/>
            </a:rPr>
            <a:t>丁目</a:t>
          </a:r>
          <a:r>
            <a:rPr kumimoji="1" lang="en-US" altLang="ja-JP" sz="1000" b="1">
              <a:latin typeface="HG丸ｺﾞｼｯｸM-PRO" panose="020F0600000000000000" pitchFamily="50" charset="-128"/>
              <a:ea typeface="HG丸ｺﾞｼｯｸM-PRO" panose="020F0600000000000000" pitchFamily="50" charset="-128"/>
            </a:rPr>
            <a:t>2-5</a:t>
          </a:r>
        </a:p>
        <a:p>
          <a:r>
            <a:rPr kumimoji="1" lang="ja-JP" altLang="en-US" sz="100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TEL:092-555-9211</a:t>
          </a:r>
          <a:r>
            <a:rPr kumimoji="1" lang="ja-JP" altLang="en-US" sz="1050" b="1">
              <a:latin typeface="HG丸ｺﾞｼｯｸM-PRO" panose="020F0600000000000000" pitchFamily="50" charset="-128"/>
              <a:ea typeface="HG丸ｺﾞｼｯｸM-PRO" panose="020F0600000000000000" pitchFamily="50" charset="-128"/>
            </a:rPr>
            <a:t>　</a:t>
          </a:r>
          <a:r>
            <a:rPr kumimoji="1" lang="en-US" altLang="ja-JP" sz="1050" b="1">
              <a:latin typeface="HG丸ｺﾞｼｯｸM-PRO" panose="020F0600000000000000" pitchFamily="50" charset="-128"/>
              <a:ea typeface="HG丸ｺﾞｼｯｸM-PRO" panose="020F0600000000000000" pitchFamily="50" charset="-128"/>
            </a:rPr>
            <a:t> FAX:092-555-9217</a:t>
          </a:r>
        </a:p>
        <a:p>
          <a:endParaRPr kumimoji="1" lang="en-US" altLang="ja-JP" sz="1050" b="1">
            <a:latin typeface="HG丸ｺﾞｼｯｸM-PRO" panose="020F0600000000000000" pitchFamily="50" charset="-128"/>
            <a:ea typeface="HG丸ｺﾞｼｯｸM-PRO" panose="020F0600000000000000" pitchFamily="50" charset="-128"/>
          </a:endParaRPr>
        </a:p>
        <a:p>
          <a:endParaRPr kumimoji="1" lang="ja-JP" altLang="en-US" sz="1100">
            <a:latin typeface="HG丸ｺﾞｼｯｸM-PRO" panose="020F0600000000000000" pitchFamily="50" charset="-128"/>
            <a:ea typeface="HG丸ｺﾞｼｯｸM-PRO" panose="020F0600000000000000" pitchFamily="50" charset="-128"/>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sv106\data\&#20491;&#20154;&#29992;\204238\&#23665;&#30000;&#25285;&#24403;&#65432;&#65420;&#65387;&#65425;&#65393;&#65413;&#65420;&#65438;&#65399;\01&#24037;&#20107;&#38306;&#20418;\01&#26410;&#25104;&#24037;&#20107;\&#12469;&#12540;&#12497;&#12473;&#34276;&#21407;&#35199;&#30010;\&#24037;&#20107;&#26376;&#22577;\&#24037;&#20107;&#26376;&#22577;2&#2637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n_nouguchi/Dropbox/&#9733;&#23567;&#21475;&#29694;&#37329;&#20986;&#32013;&#24115;/&#24467;&#26989;&#21729;/&#33021;&#21475;&#26411;&#38596;/2017&#12288;&#33021;&#21475;&#23567;&#21475;%2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d.docs.live.net/97333bf1584df3a8/&#20803;&#35531;&#12501;&#12449;&#12452;&#12523;/&#12460;&#12452;&#12450;&#12540;&#12488;/R4&#23470;&#23822;&#39640;&#36895;&#12288;&#12469;&#12531;&#12518;&#12454;&#12486;&#12483;&#12463;.xlsx" TargetMode="External"/><Relationship Id="rId1" Type="http://schemas.openxmlformats.org/officeDocument/2006/relationships/externalLinkPath" Target="/97333bf1584df3a8/&#20803;&#35531;&#12501;&#12449;&#12452;&#12523;/&#12460;&#12452;&#12450;&#12540;&#12488;/R4&#23470;&#23822;&#39640;&#36895;&#12288;&#12469;&#12531;&#12518;&#12454;&#12486;&#12483;&#1246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月報表紙"/>
      <sheetName val="工事総括"/>
      <sheetName val="工事総合進捗表"/>
      <sheetName val="状況写真"/>
      <sheetName val="状況写真 (2)"/>
      <sheetName val="状況写真 (3)"/>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科目"/>
      <sheetName val="1"/>
      <sheetName val="2"/>
      <sheetName val="3"/>
      <sheetName val="4"/>
      <sheetName val="5"/>
      <sheetName val="6"/>
      <sheetName val="7"/>
      <sheetName val="8"/>
      <sheetName val="9"/>
      <sheetName val="10"/>
      <sheetName val="11"/>
      <sheetName val="12"/>
      <sheetName val="Sheet3"/>
    </sheetNames>
    <sheetDataSet>
      <sheetData sheetId="0">
        <row r="3">
          <cell r="A3" t="str">
            <v>ガソリン代</v>
          </cell>
        </row>
        <row r="4">
          <cell r="A4" t="str">
            <v>駐車場代</v>
          </cell>
        </row>
        <row r="5">
          <cell r="A5" t="str">
            <v>電気代</v>
          </cell>
        </row>
        <row r="6">
          <cell r="A6" t="str">
            <v>ガス代</v>
          </cell>
        </row>
        <row r="7">
          <cell r="A7" t="str">
            <v>水道代</v>
          </cell>
        </row>
        <row r="8">
          <cell r="A8" t="str">
            <v>旅費交通費</v>
          </cell>
        </row>
        <row r="9">
          <cell r="A9" t="str">
            <v>福利厚生費</v>
          </cell>
        </row>
        <row r="10">
          <cell r="A10" t="str">
            <v>消耗品</v>
          </cell>
        </row>
        <row r="11">
          <cell r="A11" t="str">
            <v>書留・切手</v>
          </cell>
        </row>
        <row r="12">
          <cell r="A12" t="str">
            <v>印紙代</v>
          </cell>
        </row>
        <row r="13">
          <cell r="A13" t="str">
            <v>雑費</v>
          </cell>
        </row>
        <row r="14">
          <cell r="A14" t="str">
            <v>会議費</v>
          </cell>
        </row>
        <row r="15">
          <cell r="A15" t="str">
            <v>接待交際費</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再見積もり (2)"/>
      <sheetName val="床板研掃工 内訳明細書  (2)"/>
      <sheetName val="表紙  再見積もり"/>
      <sheetName val="表紙 "/>
      <sheetName val="WJハツリ～床板補修～WJ研掃"/>
      <sheetName val="床板研掃工 内訳明細書 "/>
      <sheetName val="床板補修工(人力打設)"/>
      <sheetName val="切削・残As撤去工"/>
      <sheetName val="床板研掃工　条件書 "/>
      <sheetName val="床板補修工 内訳明細書  "/>
      <sheetName val="床板補修工　歩掛明細書 "/>
      <sheetName val="床板補修工　条件書  "/>
      <sheetName val="条件書　実行"/>
      <sheetName val="確認書 (3)"/>
      <sheetName val="条件書 (5)"/>
    </sheetNames>
    <sheetDataSet>
      <sheetData sheetId="0"/>
      <sheetData sheetId="1"/>
      <sheetData sheetId="2"/>
      <sheetData sheetId="3"/>
      <sheetData sheetId="4">
        <row r="25">
          <cell r="L25" t="e">
            <v>#DIV/0!</v>
          </cell>
        </row>
      </sheetData>
      <sheetData sheetId="5"/>
      <sheetData sheetId="6"/>
      <sheetData sheetId="7"/>
      <sheetData sheetId="8"/>
      <sheetData sheetId="9"/>
      <sheetData sheetId="10"/>
      <sheetData sheetId="11"/>
      <sheetData sheetId="12"/>
      <sheetData sheetId="13"/>
      <sheetData sheetId="14"/>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5E9C5-5F61-4AF8-9BEB-CAE95F80782D}">
  <sheetPr codeName="Sheet1">
    <pageSetUpPr fitToPage="1"/>
  </sheetPr>
  <dimension ref="A1:CC40"/>
  <sheetViews>
    <sheetView tabSelected="1" view="pageBreakPreview" zoomScale="85" zoomScaleNormal="100" zoomScaleSheetLayoutView="85" workbookViewId="0">
      <selection activeCell="B7" sqref="F7:AF7"/>
    </sheetView>
  </sheetViews>
  <sheetFormatPr defaultColWidth="2.19921875" defaultRowHeight="13.2" x14ac:dyDescent="0.45"/>
  <cols>
    <col min="1" max="1" width="2.19921875" style="1"/>
    <col min="2" max="4" width="2.69921875" style="1" customWidth="1"/>
    <col min="5" max="5" width="4.69921875" style="1" customWidth="1"/>
    <col min="6" max="6" width="3" style="1" customWidth="1"/>
    <col min="7" max="15" width="2.19921875" style="1"/>
    <col min="16" max="16" width="3" style="1" customWidth="1"/>
    <col min="17" max="16384" width="2.19921875" style="1"/>
  </cols>
  <sheetData>
    <row r="1" spans="1:81" x14ac:dyDescent="0.45">
      <c r="AS1" s="251">
        <v>46001</v>
      </c>
      <c r="AT1" s="251"/>
      <c r="AU1" s="251"/>
      <c r="AV1" s="251"/>
      <c r="AW1" s="251"/>
      <c r="AX1" s="251"/>
      <c r="AY1" s="251"/>
      <c r="AZ1" s="2"/>
    </row>
    <row r="2" spans="1:81" ht="13.5" customHeight="1" x14ac:dyDescent="0.45">
      <c r="A2" s="252"/>
      <c r="B2" s="252"/>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M2" s="252"/>
      <c r="AN2" s="252"/>
      <c r="AO2" s="252"/>
      <c r="AP2" s="252"/>
      <c r="AQ2" s="252"/>
      <c r="AR2" s="252"/>
      <c r="AS2" s="252"/>
      <c r="AT2" s="252"/>
      <c r="AU2" s="252"/>
      <c r="AV2" s="252"/>
      <c r="AW2" s="252"/>
      <c r="AX2" s="252"/>
      <c r="AY2" s="252"/>
      <c r="AZ2" s="3"/>
    </row>
    <row r="3" spans="1:81" ht="13.5" customHeight="1" x14ac:dyDescent="0.45">
      <c r="A3" s="252"/>
      <c r="B3" s="252"/>
      <c r="C3" s="252"/>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3"/>
    </row>
    <row r="4" spans="1:81" ht="13.5" customHeight="1" x14ac:dyDescent="0.45">
      <c r="B4" s="253" t="s">
        <v>273</v>
      </c>
      <c r="C4" s="253"/>
      <c r="D4" s="253"/>
      <c r="E4" s="253"/>
      <c r="F4" s="253"/>
      <c r="G4" s="253"/>
      <c r="H4" s="253"/>
      <c r="I4" s="253"/>
      <c r="J4" s="253"/>
      <c r="K4" s="253"/>
      <c r="L4" s="253"/>
      <c r="M4" s="253"/>
      <c r="N4" s="253"/>
      <c r="O4" s="253"/>
      <c r="P4" s="253"/>
      <c r="Q4" s="255" t="s">
        <v>0</v>
      </c>
      <c r="R4" s="255"/>
      <c r="S4" s="255"/>
      <c r="T4" s="255"/>
    </row>
    <row r="5" spans="1:81" ht="14.25" customHeight="1" thickBot="1" x14ac:dyDescent="0.25">
      <c r="B5" s="254"/>
      <c r="C5" s="254"/>
      <c r="D5" s="254"/>
      <c r="E5" s="254"/>
      <c r="F5" s="254"/>
      <c r="G5" s="254"/>
      <c r="H5" s="254"/>
      <c r="I5" s="254"/>
      <c r="J5" s="254"/>
      <c r="K5" s="254"/>
      <c r="L5" s="254"/>
      <c r="M5" s="254"/>
      <c r="N5" s="254"/>
      <c r="O5" s="254"/>
      <c r="P5" s="254"/>
      <c r="Q5" s="255"/>
      <c r="R5" s="255"/>
      <c r="S5" s="255"/>
      <c r="T5" s="255"/>
      <c r="AK5" s="4"/>
      <c r="AL5" s="4"/>
      <c r="AM5" s="4"/>
      <c r="AN5" s="4"/>
      <c r="AO5" s="4"/>
      <c r="AP5" s="4"/>
      <c r="AQ5" s="4"/>
      <c r="AR5" s="4"/>
      <c r="AS5" s="4"/>
      <c r="AT5" s="4"/>
      <c r="AU5" s="4"/>
      <c r="AV5" s="4"/>
      <c r="AW5" s="4"/>
      <c r="AX5" s="4"/>
      <c r="AY5" s="4"/>
    </row>
    <row r="6" spans="1:81" ht="9.75" customHeight="1" x14ac:dyDescent="0.2">
      <c r="B6" s="5"/>
      <c r="C6" s="5"/>
      <c r="D6" s="5"/>
      <c r="E6" s="5"/>
      <c r="F6" s="5"/>
      <c r="G6" s="5"/>
      <c r="H6" s="5"/>
      <c r="I6" s="5"/>
      <c r="J6" s="5"/>
      <c r="K6" s="5"/>
      <c r="L6" s="5"/>
      <c r="M6" s="5"/>
      <c r="N6" s="5"/>
      <c r="O6" s="5"/>
      <c r="P6" s="5"/>
      <c r="Q6" s="5"/>
      <c r="R6" s="5"/>
      <c r="S6" s="5"/>
      <c r="T6" s="5"/>
      <c r="AK6" s="4"/>
      <c r="AL6" s="4"/>
      <c r="AM6" s="4"/>
      <c r="AN6" s="4"/>
      <c r="AO6" s="4"/>
      <c r="AP6" s="4"/>
      <c r="AQ6" s="4"/>
      <c r="AR6" s="4"/>
      <c r="AS6" s="4"/>
      <c r="AT6" s="4"/>
      <c r="AU6" s="4"/>
      <c r="AV6" s="4"/>
      <c r="AW6" s="4"/>
      <c r="AX6" s="4"/>
      <c r="AY6" s="4"/>
      <c r="BP6" s="6"/>
      <c r="BQ6" s="6"/>
      <c r="BR6" s="6"/>
      <c r="BS6" s="6"/>
      <c r="BT6" s="6"/>
      <c r="BU6" s="6"/>
      <c r="BV6" s="6"/>
      <c r="BW6" s="6"/>
      <c r="BX6" s="6"/>
      <c r="BY6" s="6"/>
      <c r="BZ6" s="6"/>
      <c r="CA6" s="6"/>
      <c r="CB6" s="6"/>
      <c r="CC6" s="6"/>
    </row>
    <row r="7" spans="1:81" ht="13.5" customHeight="1" x14ac:dyDescent="0.15">
      <c r="B7" s="256" t="s">
        <v>1</v>
      </c>
      <c r="C7" s="256"/>
      <c r="D7" s="256"/>
      <c r="E7" s="256"/>
      <c r="F7" s="257" t="s">
        <v>252</v>
      </c>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K7" s="7"/>
      <c r="AL7" s="7"/>
      <c r="AM7" s="7"/>
      <c r="AN7" s="7"/>
      <c r="AO7" s="7"/>
      <c r="AP7" s="7"/>
      <c r="AQ7" s="7"/>
      <c r="AR7" s="7"/>
      <c r="AS7" s="7"/>
      <c r="AT7" s="7"/>
      <c r="AU7" s="7"/>
      <c r="AV7" s="7"/>
      <c r="AW7" s="7"/>
      <c r="AX7" s="7"/>
      <c r="AY7" s="7"/>
      <c r="BP7" s="6"/>
      <c r="BQ7" s="6"/>
      <c r="BR7" s="6"/>
      <c r="BS7" s="6"/>
      <c r="BT7" s="6"/>
      <c r="BU7" s="6"/>
      <c r="BV7" s="6"/>
      <c r="BW7" s="6"/>
      <c r="BX7" s="6"/>
      <c r="BY7" s="6"/>
      <c r="BZ7" s="6"/>
      <c r="CA7" s="6"/>
      <c r="CB7" s="6"/>
      <c r="CC7" s="6"/>
    </row>
    <row r="8" spans="1:81" ht="13.5" customHeight="1" x14ac:dyDescent="0.15">
      <c r="B8" s="246" t="s">
        <v>2</v>
      </c>
      <c r="C8" s="246"/>
      <c r="D8" s="246"/>
      <c r="E8" s="246"/>
      <c r="F8" s="246" t="s">
        <v>253</v>
      </c>
      <c r="G8" s="246"/>
      <c r="H8" s="246"/>
      <c r="I8" s="246"/>
      <c r="J8" s="246"/>
      <c r="K8" s="246"/>
      <c r="L8" s="246"/>
      <c r="M8" s="246"/>
      <c r="N8" s="246"/>
      <c r="O8" s="246"/>
      <c r="P8" s="246"/>
      <c r="Q8" s="246"/>
      <c r="R8" s="246"/>
      <c r="S8" s="246"/>
      <c r="T8" s="246"/>
      <c r="U8" s="246"/>
      <c r="V8" s="246"/>
      <c r="W8" s="246"/>
      <c r="X8" s="246"/>
      <c r="Y8" s="246"/>
      <c r="Z8" s="246"/>
      <c r="AA8" s="8"/>
      <c r="AB8" s="8"/>
      <c r="AC8" s="8"/>
      <c r="AD8" s="8"/>
      <c r="AK8" s="7"/>
      <c r="AL8" s="7"/>
      <c r="AM8" s="7"/>
      <c r="AN8" s="7"/>
      <c r="AO8" s="7"/>
      <c r="AP8" s="7"/>
      <c r="AQ8" s="7"/>
      <c r="AR8" s="7"/>
      <c r="AS8" s="7"/>
      <c r="AT8" s="7"/>
      <c r="AU8" s="7"/>
      <c r="AV8" s="7"/>
      <c r="AW8" s="7"/>
      <c r="AX8" s="7"/>
      <c r="AY8" s="7"/>
    </row>
    <row r="9" spans="1:81" ht="13.5" customHeight="1" x14ac:dyDescent="0.15">
      <c r="B9" s="246" t="s">
        <v>3</v>
      </c>
      <c r="C9" s="246"/>
      <c r="D9" s="246"/>
      <c r="E9" s="246"/>
      <c r="F9" s="9" t="s">
        <v>4</v>
      </c>
      <c r="G9" s="250"/>
      <c r="H9" s="250"/>
      <c r="I9" s="250"/>
      <c r="J9" s="250"/>
      <c r="K9" s="250"/>
      <c r="L9" s="250"/>
      <c r="M9" s="250"/>
      <c r="N9" s="250"/>
      <c r="O9" s="250"/>
      <c r="P9" s="9" t="s">
        <v>5</v>
      </c>
      <c r="Q9" s="250"/>
      <c r="R9" s="250"/>
      <c r="S9" s="250"/>
      <c r="T9" s="250"/>
      <c r="U9" s="250"/>
      <c r="V9" s="250"/>
      <c r="W9" s="250"/>
      <c r="X9" s="250"/>
      <c r="Y9" s="250"/>
      <c r="Z9" s="250"/>
      <c r="AA9" s="8"/>
      <c r="AB9" s="8"/>
      <c r="AC9" s="8"/>
      <c r="AD9" s="8"/>
      <c r="AK9" s="7"/>
      <c r="AL9" s="7"/>
      <c r="AM9" s="7"/>
      <c r="AN9" s="7"/>
      <c r="AO9" s="7"/>
      <c r="AP9" s="7"/>
      <c r="AQ9" s="7"/>
      <c r="AR9" s="7"/>
      <c r="AS9" s="7"/>
      <c r="AT9" s="7"/>
      <c r="AU9" s="7"/>
      <c r="AV9" s="7"/>
      <c r="AW9" s="7"/>
      <c r="AX9" s="7"/>
      <c r="AY9" s="7"/>
    </row>
    <row r="10" spans="1:81" ht="13.5" customHeight="1" x14ac:dyDescent="0.45">
      <c r="B10" s="246" t="s">
        <v>6</v>
      </c>
      <c r="C10" s="246"/>
      <c r="D10" s="246"/>
      <c r="E10" s="246"/>
      <c r="F10" s="246" t="s">
        <v>7</v>
      </c>
      <c r="G10" s="246"/>
      <c r="H10" s="246"/>
      <c r="I10" s="246"/>
      <c r="J10" s="246"/>
      <c r="K10" s="246"/>
      <c r="L10" s="246"/>
      <c r="M10" s="246"/>
      <c r="N10" s="246"/>
      <c r="O10" s="246"/>
      <c r="P10" s="246"/>
      <c r="Q10" s="246"/>
      <c r="R10" s="246"/>
      <c r="S10" s="246"/>
      <c r="T10" s="246"/>
      <c r="U10" s="246"/>
      <c r="V10" s="246"/>
      <c r="W10" s="246"/>
      <c r="X10" s="246"/>
      <c r="Y10" s="246"/>
      <c r="Z10" s="246"/>
      <c r="AA10" s="8"/>
      <c r="AB10" s="8"/>
      <c r="AC10" s="8"/>
      <c r="AD10" s="8"/>
      <c r="AK10" s="10"/>
      <c r="AL10" s="10"/>
      <c r="AM10" s="10"/>
      <c r="AN10" s="10"/>
      <c r="AO10" s="10"/>
      <c r="AP10" s="10"/>
      <c r="AQ10" s="10"/>
      <c r="AR10" s="10"/>
      <c r="AS10" s="10"/>
      <c r="AT10" s="10"/>
      <c r="AU10" s="10"/>
      <c r="AV10" s="10"/>
      <c r="AW10" s="10"/>
      <c r="AX10" s="10"/>
      <c r="AY10" s="10"/>
    </row>
    <row r="11" spans="1:81" ht="13.5" customHeight="1" x14ac:dyDescent="0.45">
      <c r="B11" s="246" t="s">
        <v>8</v>
      </c>
      <c r="C11" s="246"/>
      <c r="D11" s="246"/>
      <c r="E11" s="246"/>
      <c r="F11" s="246" t="s">
        <v>9</v>
      </c>
      <c r="G11" s="246"/>
      <c r="H11" s="246"/>
      <c r="I11" s="246"/>
      <c r="J11" s="246"/>
      <c r="K11" s="246"/>
      <c r="L11" s="246"/>
      <c r="M11" s="246"/>
      <c r="N11" s="246"/>
      <c r="O11" s="246"/>
      <c r="P11" s="246"/>
      <c r="Q11" s="246"/>
      <c r="R11" s="246"/>
      <c r="S11" s="246"/>
      <c r="T11" s="246"/>
      <c r="U11" s="246"/>
      <c r="V11" s="246"/>
      <c r="W11" s="246"/>
      <c r="X11" s="246"/>
      <c r="Y11" s="246"/>
      <c r="Z11" s="246"/>
      <c r="AA11" s="11"/>
      <c r="AB11" s="11"/>
      <c r="AC11" s="11"/>
      <c r="AD11" s="11"/>
      <c r="AK11" s="10"/>
      <c r="AL11" s="10"/>
      <c r="AM11" s="10"/>
      <c r="AN11" s="10"/>
      <c r="AO11" s="10"/>
      <c r="AP11" s="10"/>
      <c r="AQ11" s="10"/>
      <c r="AR11" s="10"/>
      <c r="AS11" s="10"/>
      <c r="AT11" s="10"/>
      <c r="AU11" s="10"/>
      <c r="AV11" s="10"/>
      <c r="AW11" s="10"/>
      <c r="AX11" s="10"/>
      <c r="AY11" s="10"/>
    </row>
    <row r="12" spans="1:81" ht="13.5" customHeight="1" x14ac:dyDescent="0.45">
      <c r="B12" s="246" t="s">
        <v>10</v>
      </c>
      <c r="C12" s="246"/>
      <c r="D12" s="246"/>
      <c r="E12" s="246"/>
      <c r="F12" s="246" t="s">
        <v>11</v>
      </c>
      <c r="G12" s="246"/>
      <c r="H12" s="246"/>
      <c r="I12" s="246"/>
      <c r="J12" s="246"/>
      <c r="K12" s="246"/>
      <c r="L12" s="246"/>
      <c r="M12" s="246"/>
      <c r="N12" s="246"/>
      <c r="O12" s="246"/>
      <c r="P12" s="246"/>
      <c r="Q12" s="246"/>
      <c r="R12" s="246"/>
      <c r="S12" s="246"/>
      <c r="T12" s="246"/>
      <c r="U12" s="246"/>
      <c r="V12" s="246"/>
      <c r="W12" s="246"/>
      <c r="X12" s="246"/>
      <c r="Y12" s="246"/>
      <c r="Z12" s="246"/>
      <c r="AA12" s="11"/>
      <c r="AB12" s="11"/>
      <c r="AC12" s="11"/>
      <c r="AD12" s="11"/>
      <c r="AK12" s="10"/>
      <c r="AL12" s="10"/>
      <c r="AM12" s="10"/>
      <c r="AN12" s="10"/>
      <c r="AO12" s="10"/>
      <c r="AP12" s="10"/>
      <c r="AQ12" s="10"/>
      <c r="AR12" s="10"/>
      <c r="AS12" s="10"/>
      <c r="AT12" s="10"/>
      <c r="AU12" s="10"/>
      <c r="AV12" s="10"/>
      <c r="AW12" s="10"/>
      <c r="AX12" s="10"/>
      <c r="AY12" s="10"/>
    </row>
    <row r="13" spans="1:81" ht="13.5" customHeight="1" x14ac:dyDescent="0.45">
      <c r="B13" s="246" t="s">
        <v>12</v>
      </c>
      <c r="C13" s="246"/>
      <c r="D13" s="246"/>
      <c r="E13" s="246"/>
      <c r="F13" s="246" t="s">
        <v>13</v>
      </c>
      <c r="G13" s="246"/>
      <c r="H13" s="246"/>
      <c r="I13" s="246"/>
      <c r="J13" s="246"/>
      <c r="K13" s="246"/>
      <c r="L13" s="246"/>
      <c r="M13" s="246"/>
      <c r="N13" s="246"/>
      <c r="O13" s="246"/>
      <c r="P13" s="246"/>
      <c r="Q13" s="246"/>
      <c r="R13" s="246"/>
      <c r="S13" s="246"/>
      <c r="T13" s="246"/>
      <c r="U13" s="246"/>
      <c r="V13" s="246"/>
      <c r="W13" s="246"/>
      <c r="X13" s="246"/>
      <c r="Y13" s="246"/>
      <c r="Z13" s="246"/>
      <c r="AA13" s="11"/>
      <c r="AB13" s="11"/>
      <c r="AC13" s="11"/>
      <c r="AD13" s="11"/>
      <c r="AK13" s="10"/>
      <c r="AL13" s="10"/>
      <c r="AM13" s="10"/>
      <c r="AN13" s="10"/>
      <c r="AO13" s="10"/>
      <c r="AP13" s="10"/>
      <c r="AQ13" s="10"/>
      <c r="AR13" s="10"/>
      <c r="AS13" s="10"/>
      <c r="AT13" s="10"/>
      <c r="AU13" s="10"/>
      <c r="AV13" s="10"/>
      <c r="AW13" s="10"/>
      <c r="AX13" s="10"/>
      <c r="AY13" s="10"/>
    </row>
    <row r="14" spans="1:81" ht="13.5" customHeight="1" x14ac:dyDescent="0.45">
      <c r="B14" s="246" t="s">
        <v>14</v>
      </c>
      <c r="C14" s="246"/>
      <c r="D14" s="246"/>
      <c r="E14" s="246"/>
      <c r="F14" s="246" t="s">
        <v>15</v>
      </c>
      <c r="G14" s="246"/>
      <c r="H14" s="246"/>
      <c r="I14" s="246"/>
      <c r="J14" s="246"/>
      <c r="K14" s="246"/>
      <c r="L14" s="246"/>
      <c r="M14" s="246"/>
      <c r="N14" s="246"/>
      <c r="O14" s="246"/>
      <c r="P14" s="246"/>
      <c r="Q14" s="246"/>
      <c r="R14" s="246"/>
      <c r="S14" s="246"/>
      <c r="T14" s="246"/>
      <c r="U14" s="246"/>
      <c r="V14" s="246"/>
      <c r="W14" s="246"/>
      <c r="X14" s="246"/>
      <c r="Y14" s="246"/>
      <c r="Z14" s="246"/>
      <c r="AA14" s="11"/>
      <c r="AB14" s="11"/>
      <c r="AC14" s="11"/>
      <c r="AD14" s="11"/>
      <c r="AK14" s="10"/>
      <c r="AL14" s="10"/>
      <c r="AM14" s="10"/>
      <c r="AN14" s="10"/>
      <c r="AO14" s="10"/>
      <c r="AP14" s="10"/>
      <c r="AQ14" s="10"/>
      <c r="AR14" s="10"/>
      <c r="AS14" s="10"/>
      <c r="AT14" s="10"/>
      <c r="AU14" s="10"/>
      <c r="AV14" s="10"/>
      <c r="AW14" s="10"/>
      <c r="AX14" s="10"/>
      <c r="AY14" s="10"/>
    </row>
    <row r="15" spans="1:81" ht="12" customHeight="1" x14ac:dyDescent="0.45"/>
    <row r="16" spans="1:81" ht="14.25" customHeight="1" x14ac:dyDescent="0.45">
      <c r="B16" s="12" t="s">
        <v>16</v>
      </c>
    </row>
    <row r="17" spans="2:61" ht="14.25" customHeight="1" x14ac:dyDescent="0.45">
      <c r="B17" s="12" t="s">
        <v>17</v>
      </c>
    </row>
    <row r="18" spans="2:61" ht="14.25" customHeight="1" x14ac:dyDescent="0.45">
      <c r="B18" s="12" t="s">
        <v>18</v>
      </c>
    </row>
    <row r="19" spans="2:61" ht="14.25" customHeight="1" x14ac:dyDescent="0.45">
      <c r="B19" s="12"/>
    </row>
    <row r="20" spans="2:61" x14ac:dyDescent="0.45">
      <c r="B20" s="247" t="s">
        <v>19</v>
      </c>
      <c r="C20" s="247"/>
      <c r="D20" s="247"/>
      <c r="E20" s="247"/>
      <c r="F20" s="247"/>
      <c r="G20" s="247"/>
      <c r="H20" s="247"/>
      <c r="I20" s="247"/>
      <c r="J20" s="247"/>
      <c r="K20" s="247"/>
      <c r="L20" s="247"/>
      <c r="M20" s="247"/>
      <c r="N20" s="247"/>
      <c r="O20" s="247"/>
      <c r="P20" s="247"/>
      <c r="Q20" s="247"/>
      <c r="R20" s="247"/>
      <c r="S20" s="247"/>
      <c r="T20" s="247"/>
      <c r="U20" s="248">
        <f>AL39</f>
        <v>109149999.55</v>
      </c>
      <c r="V20" s="248"/>
      <c r="W20" s="248"/>
      <c r="X20" s="248"/>
      <c r="Y20" s="248"/>
      <c r="Z20" s="248"/>
      <c r="AA20" s="248"/>
      <c r="AB20" s="248"/>
      <c r="AC20" s="248"/>
      <c r="AD20" s="248"/>
      <c r="AK20" s="10"/>
      <c r="AL20" s="10"/>
      <c r="AM20" s="10"/>
      <c r="AN20" s="10"/>
      <c r="AO20" s="10"/>
      <c r="AP20" s="10"/>
      <c r="AQ20" s="10"/>
      <c r="AR20" s="10"/>
      <c r="AS20" s="10"/>
      <c r="AT20" s="10"/>
      <c r="AU20" s="10"/>
      <c r="AV20" s="10"/>
      <c r="AW20" s="10"/>
      <c r="AX20" s="10"/>
      <c r="AY20" s="10"/>
    </row>
    <row r="21" spans="2:61" x14ac:dyDescent="0.45">
      <c r="B21" s="247" t="s">
        <v>20</v>
      </c>
      <c r="C21" s="247"/>
      <c r="D21" s="247"/>
      <c r="E21" s="247"/>
      <c r="F21" s="247"/>
      <c r="G21" s="247"/>
      <c r="H21" s="247"/>
      <c r="I21" s="247"/>
      <c r="J21" s="247"/>
      <c r="K21" s="247"/>
      <c r="L21" s="247"/>
      <c r="M21" s="247"/>
      <c r="N21" s="247"/>
      <c r="O21" s="247"/>
      <c r="P21" s="247"/>
      <c r="Q21" s="247"/>
      <c r="R21" s="247"/>
      <c r="S21" s="247"/>
      <c r="T21" s="247"/>
      <c r="U21" s="249">
        <f>U20*0.1</f>
        <v>10914999.955</v>
      </c>
      <c r="V21" s="249"/>
      <c r="W21" s="249"/>
      <c r="X21" s="249"/>
      <c r="Y21" s="249"/>
      <c r="Z21" s="249"/>
      <c r="AA21" s="249"/>
      <c r="AB21" s="249"/>
      <c r="AC21" s="249"/>
      <c r="AD21" s="249"/>
      <c r="AK21" s="12"/>
      <c r="AL21" s="12"/>
      <c r="AM21" s="12"/>
      <c r="AN21" s="12"/>
      <c r="AO21" s="12"/>
      <c r="AP21" s="10"/>
      <c r="AQ21" s="10"/>
      <c r="AR21" s="10"/>
      <c r="AS21" s="10"/>
      <c r="AT21" s="10"/>
      <c r="AU21" s="10"/>
      <c r="AV21" s="10"/>
      <c r="AW21" s="10"/>
      <c r="AX21" s="12"/>
      <c r="AY21" s="12"/>
    </row>
    <row r="22" spans="2:61" x14ac:dyDescent="0.45">
      <c r="B22" s="242" t="s">
        <v>21</v>
      </c>
      <c r="C22" s="242"/>
      <c r="D22" s="242"/>
      <c r="E22" s="242"/>
      <c r="F22" s="242"/>
      <c r="G22" s="242"/>
      <c r="H22" s="242"/>
      <c r="I22" s="242"/>
      <c r="J22" s="242"/>
      <c r="K22" s="242"/>
      <c r="L22" s="242"/>
      <c r="M22" s="242"/>
      <c r="N22" s="242"/>
      <c r="O22" s="242"/>
      <c r="P22" s="242"/>
      <c r="Q22" s="242"/>
      <c r="R22" s="242"/>
      <c r="S22" s="242"/>
      <c r="T22" s="242"/>
      <c r="U22" s="244">
        <f>ROUND(U20*1.1,0)</f>
        <v>120065000</v>
      </c>
      <c r="V22" s="244"/>
      <c r="W22" s="244"/>
      <c r="X22" s="244"/>
      <c r="Y22" s="244"/>
      <c r="Z22" s="244"/>
      <c r="AA22" s="244"/>
      <c r="AB22" s="244"/>
      <c r="AC22" s="244"/>
      <c r="AD22" s="244"/>
      <c r="AP22" s="10"/>
      <c r="AQ22" s="10"/>
      <c r="AR22" s="10"/>
      <c r="AS22" s="10"/>
      <c r="AT22" s="10"/>
      <c r="AU22" s="10"/>
      <c r="AV22" s="10"/>
      <c r="AW22" s="10"/>
    </row>
    <row r="23" spans="2:61" ht="13.8" thickBot="1" x14ac:dyDescent="0.5">
      <c r="B23" s="243"/>
      <c r="C23" s="243"/>
      <c r="D23" s="243"/>
      <c r="E23" s="243"/>
      <c r="F23" s="243"/>
      <c r="G23" s="243"/>
      <c r="H23" s="243"/>
      <c r="I23" s="243"/>
      <c r="J23" s="243"/>
      <c r="K23" s="243"/>
      <c r="L23" s="243"/>
      <c r="M23" s="243"/>
      <c r="N23" s="243"/>
      <c r="O23" s="243"/>
      <c r="P23" s="243"/>
      <c r="Q23" s="243"/>
      <c r="R23" s="243"/>
      <c r="S23" s="243"/>
      <c r="T23" s="243"/>
      <c r="U23" s="245"/>
      <c r="V23" s="245"/>
      <c r="W23" s="245"/>
      <c r="X23" s="245"/>
      <c r="Y23" s="245"/>
      <c r="Z23" s="245"/>
      <c r="AA23" s="245"/>
      <c r="AB23" s="245"/>
      <c r="AC23" s="245"/>
      <c r="AD23" s="245"/>
      <c r="AP23" s="10"/>
      <c r="AQ23" s="10"/>
      <c r="AR23" s="10"/>
      <c r="AS23" s="10"/>
      <c r="AT23" s="10"/>
      <c r="AU23" s="10"/>
      <c r="AV23" s="10"/>
      <c r="AW23" s="10"/>
    </row>
    <row r="24" spans="2:61" ht="14.25" customHeight="1" thickTop="1" x14ac:dyDescent="0.45">
      <c r="B24" s="12"/>
    </row>
    <row r="25" spans="2:61" ht="13.8" thickBot="1" x14ac:dyDescent="0.5">
      <c r="B25" s="229" t="s">
        <v>22</v>
      </c>
      <c r="C25" s="230"/>
      <c r="D25" s="229" t="s">
        <v>23</v>
      </c>
      <c r="E25" s="231"/>
      <c r="F25" s="231"/>
      <c r="G25" s="231"/>
      <c r="H25" s="231"/>
      <c r="I25" s="231"/>
      <c r="J25" s="231"/>
      <c r="K25" s="230"/>
      <c r="L25" s="229" t="s">
        <v>24</v>
      </c>
      <c r="M25" s="231"/>
      <c r="N25" s="231"/>
      <c r="O25" s="231"/>
      <c r="P25" s="231"/>
      <c r="Q25" s="231"/>
      <c r="R25" s="231"/>
      <c r="S25" s="231"/>
      <c r="T25" s="231"/>
      <c r="U25" s="231"/>
      <c r="V25" s="231"/>
      <c r="W25" s="231"/>
      <c r="X25" s="231"/>
      <c r="Y25" s="231"/>
      <c r="Z25" s="231"/>
      <c r="AA25" s="231"/>
      <c r="AB25" s="230"/>
      <c r="AC25" s="229" t="s">
        <v>25</v>
      </c>
      <c r="AD25" s="231"/>
      <c r="AE25" s="230"/>
      <c r="AF25" s="229" t="s">
        <v>26</v>
      </c>
      <c r="AG25" s="230"/>
      <c r="AH25" s="229" t="s">
        <v>27</v>
      </c>
      <c r="AI25" s="231"/>
      <c r="AJ25" s="231"/>
      <c r="AK25" s="230"/>
      <c r="AL25" s="229" t="s">
        <v>28</v>
      </c>
      <c r="AM25" s="231"/>
      <c r="AN25" s="231"/>
      <c r="AO25" s="231"/>
      <c r="AP25" s="231"/>
      <c r="AQ25" s="231"/>
      <c r="AR25" s="230"/>
      <c r="AS25" s="232" t="s">
        <v>29</v>
      </c>
      <c r="AT25" s="231"/>
      <c r="AU25" s="231"/>
      <c r="AV25" s="231"/>
      <c r="AW25" s="231"/>
      <c r="AX25" s="231"/>
      <c r="AY25" s="230"/>
    </row>
    <row r="26" spans="2:61" ht="13.8" thickTop="1" x14ac:dyDescent="0.45">
      <c r="B26" s="202"/>
      <c r="C26" s="195"/>
      <c r="D26" s="233"/>
      <c r="E26" s="234"/>
      <c r="F26" s="234"/>
      <c r="G26" s="234"/>
      <c r="H26" s="234"/>
      <c r="I26" s="234"/>
      <c r="J26" s="234"/>
      <c r="K26" s="235"/>
      <c r="L26" s="196"/>
      <c r="M26" s="197"/>
      <c r="N26" s="197"/>
      <c r="O26" s="197"/>
      <c r="P26" s="197"/>
      <c r="Q26" s="197"/>
      <c r="R26" s="197"/>
      <c r="S26" s="197"/>
      <c r="T26" s="197"/>
      <c r="U26" s="197"/>
      <c r="V26" s="197"/>
      <c r="W26" s="197"/>
      <c r="X26" s="197"/>
      <c r="Y26" s="197"/>
      <c r="Z26" s="197"/>
      <c r="AA26" s="197"/>
      <c r="AB26" s="198"/>
      <c r="AC26" s="199"/>
      <c r="AD26" s="200"/>
      <c r="AE26" s="201"/>
      <c r="AF26" s="202"/>
      <c r="AG26" s="195"/>
      <c r="AH26" s="236"/>
      <c r="AI26" s="237"/>
      <c r="AJ26" s="237"/>
      <c r="AK26" s="238"/>
      <c r="AL26" s="186"/>
      <c r="AM26" s="187"/>
      <c r="AN26" s="187"/>
      <c r="AO26" s="187"/>
      <c r="AP26" s="187"/>
      <c r="AQ26" s="187"/>
      <c r="AR26" s="188"/>
      <c r="AS26" s="239"/>
      <c r="AT26" s="240"/>
      <c r="AU26" s="240"/>
      <c r="AV26" s="240"/>
      <c r="AW26" s="240"/>
      <c r="AX26" s="240"/>
      <c r="AY26" s="241"/>
    </row>
    <row r="27" spans="2:61" x14ac:dyDescent="0.45">
      <c r="B27" s="192">
        <v>1</v>
      </c>
      <c r="C27" s="191"/>
      <c r="D27" s="193" t="s">
        <v>272</v>
      </c>
      <c r="E27" s="194"/>
      <c r="F27" s="194"/>
      <c r="G27" s="194"/>
      <c r="H27" s="194"/>
      <c r="I27" s="194"/>
      <c r="J27" s="194"/>
      <c r="K27" s="195"/>
      <c r="L27" s="196" t="s">
        <v>30</v>
      </c>
      <c r="M27" s="197"/>
      <c r="N27" s="197"/>
      <c r="O27" s="197"/>
      <c r="P27" s="197"/>
      <c r="Q27" s="197"/>
      <c r="R27" s="197"/>
      <c r="S27" s="197"/>
      <c r="T27" s="197"/>
      <c r="U27" s="197"/>
      <c r="V27" s="197"/>
      <c r="W27" s="197"/>
      <c r="X27" s="197"/>
      <c r="Y27" s="197"/>
      <c r="Z27" s="197"/>
      <c r="AA27" s="197"/>
      <c r="AB27" s="198"/>
      <c r="AC27" s="220">
        <v>1</v>
      </c>
      <c r="AD27" s="221"/>
      <c r="AE27" s="222"/>
      <c r="AF27" s="202" t="s">
        <v>31</v>
      </c>
      <c r="AG27" s="195"/>
      <c r="AH27" s="212"/>
      <c r="AI27" s="213"/>
      <c r="AJ27" s="213"/>
      <c r="AK27" s="214"/>
      <c r="AL27" s="186">
        <f>床版防水工!F23</f>
        <v>13299999.800000001</v>
      </c>
      <c r="AM27" s="187"/>
      <c r="AN27" s="187"/>
      <c r="AO27" s="187"/>
      <c r="AP27" s="187"/>
      <c r="AQ27" s="187"/>
      <c r="AR27" s="188"/>
      <c r="AS27" s="189"/>
      <c r="AT27" s="190"/>
      <c r="AU27" s="190"/>
      <c r="AV27" s="190"/>
      <c r="AW27" s="190"/>
      <c r="AX27" s="190"/>
      <c r="AY27" s="191"/>
    </row>
    <row r="28" spans="2:61" x14ac:dyDescent="0.45">
      <c r="B28" s="192"/>
      <c r="C28" s="191"/>
      <c r="D28" s="216"/>
      <c r="E28" s="217"/>
      <c r="F28" s="217"/>
      <c r="G28" s="217"/>
      <c r="H28" s="217"/>
      <c r="I28" s="217"/>
      <c r="J28" s="217"/>
      <c r="K28" s="218"/>
      <c r="L28" s="219"/>
      <c r="M28" s="207"/>
      <c r="N28" s="207"/>
      <c r="O28" s="207"/>
      <c r="P28" s="207"/>
      <c r="Q28" s="207"/>
      <c r="R28" s="207"/>
      <c r="S28" s="207"/>
      <c r="T28" s="207"/>
      <c r="U28" s="207"/>
      <c r="V28" s="207"/>
      <c r="W28" s="207"/>
      <c r="X28" s="207"/>
      <c r="Y28" s="207"/>
      <c r="Z28" s="207"/>
      <c r="AA28" s="207"/>
      <c r="AB28" s="208"/>
      <c r="AC28" s="209"/>
      <c r="AD28" s="210"/>
      <c r="AE28" s="211"/>
      <c r="AF28" s="192"/>
      <c r="AG28" s="191"/>
      <c r="AH28" s="212"/>
      <c r="AI28" s="213"/>
      <c r="AJ28" s="213"/>
      <c r="AK28" s="214"/>
      <c r="AL28" s="186"/>
      <c r="AM28" s="187"/>
      <c r="AN28" s="187"/>
      <c r="AO28" s="187"/>
      <c r="AP28" s="187"/>
      <c r="AQ28" s="187"/>
      <c r="AR28" s="188"/>
      <c r="AS28" s="189"/>
      <c r="AT28" s="190"/>
      <c r="AU28" s="190"/>
      <c r="AV28" s="190"/>
      <c r="AW28" s="190"/>
      <c r="AX28" s="190"/>
      <c r="AY28" s="191"/>
    </row>
    <row r="29" spans="2:61" x14ac:dyDescent="0.45">
      <c r="B29" s="192">
        <v>2</v>
      </c>
      <c r="C29" s="191"/>
      <c r="D29" s="193" t="s">
        <v>126</v>
      </c>
      <c r="E29" s="194"/>
      <c r="F29" s="194"/>
      <c r="G29" s="194"/>
      <c r="H29" s="194"/>
      <c r="I29" s="194"/>
      <c r="J29" s="194"/>
      <c r="K29" s="195"/>
      <c r="L29" s="196" t="s">
        <v>30</v>
      </c>
      <c r="M29" s="197"/>
      <c r="N29" s="197"/>
      <c r="O29" s="197"/>
      <c r="P29" s="197"/>
      <c r="Q29" s="197"/>
      <c r="R29" s="197"/>
      <c r="S29" s="197"/>
      <c r="T29" s="197"/>
      <c r="U29" s="197"/>
      <c r="V29" s="197"/>
      <c r="W29" s="197"/>
      <c r="X29" s="197"/>
      <c r="Y29" s="197"/>
      <c r="Z29" s="197"/>
      <c r="AA29" s="197"/>
      <c r="AB29" s="198"/>
      <c r="AC29" s="220">
        <v>1</v>
      </c>
      <c r="AD29" s="221"/>
      <c r="AE29" s="222"/>
      <c r="AF29" s="202" t="s">
        <v>31</v>
      </c>
      <c r="AG29" s="195"/>
      <c r="AH29" s="212"/>
      <c r="AI29" s="213"/>
      <c r="AJ29" s="213"/>
      <c r="AK29" s="214"/>
      <c r="AL29" s="226">
        <f>'床版補修　WJ'!F23</f>
        <v>48699999.5</v>
      </c>
      <c r="AM29" s="227"/>
      <c r="AN29" s="227"/>
      <c r="AO29" s="227"/>
      <c r="AP29" s="227"/>
      <c r="AQ29" s="227"/>
      <c r="AR29" s="228"/>
      <c r="AS29" s="189"/>
      <c r="AT29" s="190"/>
      <c r="AU29" s="190"/>
      <c r="AV29" s="190"/>
      <c r="AW29" s="190"/>
      <c r="AX29" s="190"/>
      <c r="AY29" s="191"/>
    </row>
    <row r="30" spans="2:61" x14ac:dyDescent="0.45">
      <c r="B30" s="192"/>
      <c r="C30" s="191"/>
      <c r="D30" s="193"/>
      <c r="E30" s="194"/>
      <c r="F30" s="194"/>
      <c r="G30" s="194"/>
      <c r="H30" s="194"/>
      <c r="I30" s="194"/>
      <c r="J30" s="194"/>
      <c r="K30" s="195"/>
      <c r="L30" s="206"/>
      <c r="M30" s="207"/>
      <c r="N30" s="207"/>
      <c r="O30" s="207"/>
      <c r="P30" s="207"/>
      <c r="Q30" s="207"/>
      <c r="R30" s="207"/>
      <c r="S30" s="207"/>
      <c r="T30" s="207"/>
      <c r="U30" s="207"/>
      <c r="V30" s="207"/>
      <c r="W30" s="207"/>
      <c r="X30" s="207"/>
      <c r="Y30" s="207"/>
      <c r="Z30" s="207"/>
      <c r="AA30" s="207"/>
      <c r="AB30" s="208"/>
      <c r="AC30" s="209"/>
      <c r="AD30" s="210"/>
      <c r="AE30" s="211"/>
      <c r="AF30" s="192"/>
      <c r="AG30" s="191"/>
      <c r="AH30" s="212"/>
      <c r="AI30" s="213"/>
      <c r="AJ30" s="213"/>
      <c r="AK30" s="214"/>
      <c r="AL30" s="226"/>
      <c r="AM30" s="227"/>
      <c r="AN30" s="227"/>
      <c r="AO30" s="227"/>
      <c r="AP30" s="227"/>
      <c r="AQ30" s="227"/>
      <c r="AR30" s="228"/>
      <c r="AS30" s="189"/>
      <c r="AT30" s="190"/>
      <c r="AU30" s="190"/>
      <c r="AV30" s="190"/>
      <c r="AW30" s="190"/>
      <c r="AX30" s="190"/>
      <c r="AY30" s="191"/>
      <c r="BD30" s="215"/>
      <c r="BE30" s="215"/>
      <c r="BF30" s="215"/>
      <c r="BG30" s="215"/>
      <c r="BH30" s="215"/>
      <c r="BI30" s="215"/>
    </row>
    <row r="31" spans="2:61" x14ac:dyDescent="0.45">
      <c r="B31" s="192">
        <v>3</v>
      </c>
      <c r="C31" s="191"/>
      <c r="D31" s="193" t="s">
        <v>127</v>
      </c>
      <c r="E31" s="194"/>
      <c r="F31" s="194"/>
      <c r="G31" s="194"/>
      <c r="H31" s="194"/>
      <c r="I31" s="194"/>
      <c r="J31" s="194"/>
      <c r="K31" s="195"/>
      <c r="L31" s="196" t="s">
        <v>30</v>
      </c>
      <c r="M31" s="197"/>
      <c r="N31" s="197"/>
      <c r="O31" s="197"/>
      <c r="P31" s="197"/>
      <c r="Q31" s="197"/>
      <c r="R31" s="197"/>
      <c r="S31" s="197"/>
      <c r="T31" s="197"/>
      <c r="U31" s="197"/>
      <c r="V31" s="197"/>
      <c r="W31" s="197"/>
      <c r="X31" s="197"/>
      <c r="Y31" s="197"/>
      <c r="Z31" s="197"/>
      <c r="AA31" s="197"/>
      <c r="AB31" s="198"/>
      <c r="AC31" s="220">
        <v>1</v>
      </c>
      <c r="AD31" s="221"/>
      <c r="AE31" s="222"/>
      <c r="AF31" s="202" t="s">
        <v>31</v>
      </c>
      <c r="AG31" s="195"/>
      <c r="AH31" s="212"/>
      <c r="AI31" s="213"/>
      <c r="AJ31" s="213"/>
      <c r="AK31" s="214"/>
      <c r="AL31" s="226">
        <f>'床版補修　リペア'!F24</f>
        <v>45000000</v>
      </c>
      <c r="AM31" s="227"/>
      <c r="AN31" s="227"/>
      <c r="AO31" s="227"/>
      <c r="AP31" s="227"/>
      <c r="AQ31" s="227"/>
      <c r="AR31" s="228"/>
      <c r="AS31" s="189"/>
      <c r="AT31" s="190"/>
      <c r="AU31" s="190"/>
      <c r="AV31" s="190"/>
      <c r="AW31" s="190"/>
      <c r="AX31" s="190"/>
      <c r="AY31" s="191"/>
      <c r="BD31" s="13"/>
      <c r="BE31" s="13"/>
      <c r="BF31" s="13"/>
      <c r="BG31" s="13"/>
      <c r="BH31" s="13"/>
      <c r="BI31" s="13"/>
    </row>
    <row r="32" spans="2:61" x14ac:dyDescent="0.45">
      <c r="B32" s="192"/>
      <c r="C32" s="191"/>
      <c r="D32" s="216"/>
      <c r="E32" s="217"/>
      <c r="F32" s="217"/>
      <c r="G32" s="217"/>
      <c r="H32" s="217"/>
      <c r="I32" s="217"/>
      <c r="J32" s="217"/>
      <c r="K32" s="218"/>
      <c r="L32" s="196"/>
      <c r="M32" s="197"/>
      <c r="N32" s="197"/>
      <c r="O32" s="197"/>
      <c r="P32" s="197"/>
      <c r="Q32" s="197"/>
      <c r="R32" s="197"/>
      <c r="S32" s="197"/>
      <c r="T32" s="197"/>
      <c r="U32" s="197"/>
      <c r="V32" s="197"/>
      <c r="W32" s="197"/>
      <c r="X32" s="197"/>
      <c r="Y32" s="197"/>
      <c r="Z32" s="197"/>
      <c r="AA32" s="197"/>
      <c r="AB32" s="198"/>
      <c r="AC32" s="220"/>
      <c r="AD32" s="221"/>
      <c r="AE32" s="222"/>
      <c r="AF32" s="202"/>
      <c r="AG32" s="195"/>
      <c r="AH32" s="212"/>
      <c r="AI32" s="213"/>
      <c r="AJ32" s="213"/>
      <c r="AK32" s="214"/>
      <c r="AL32" s="226"/>
      <c r="AM32" s="227"/>
      <c r="AN32" s="227"/>
      <c r="AO32" s="227"/>
      <c r="AP32" s="227"/>
      <c r="AQ32" s="227"/>
      <c r="AR32" s="228"/>
      <c r="AS32" s="189"/>
      <c r="AT32" s="190"/>
      <c r="AU32" s="190"/>
      <c r="AV32" s="190"/>
      <c r="AW32" s="190"/>
      <c r="AX32" s="190"/>
      <c r="AY32" s="191"/>
      <c r="BD32" s="13"/>
      <c r="BE32" s="13"/>
      <c r="BF32" s="13"/>
      <c r="BG32" s="13"/>
      <c r="BH32" s="13"/>
      <c r="BI32" s="13"/>
    </row>
    <row r="33" spans="2:73" x14ac:dyDescent="0.45">
      <c r="B33" s="192">
        <v>4</v>
      </c>
      <c r="C33" s="191"/>
      <c r="D33" s="193" t="s">
        <v>117</v>
      </c>
      <c r="E33" s="194"/>
      <c r="F33" s="194"/>
      <c r="G33" s="194"/>
      <c r="H33" s="194"/>
      <c r="I33" s="194"/>
      <c r="J33" s="194"/>
      <c r="K33" s="195"/>
      <c r="L33" s="196" t="s">
        <v>30</v>
      </c>
      <c r="M33" s="197"/>
      <c r="N33" s="197"/>
      <c r="O33" s="197"/>
      <c r="P33" s="197"/>
      <c r="Q33" s="197"/>
      <c r="R33" s="197"/>
      <c r="S33" s="197"/>
      <c r="T33" s="197"/>
      <c r="U33" s="197"/>
      <c r="V33" s="197"/>
      <c r="W33" s="197"/>
      <c r="X33" s="197"/>
      <c r="Y33" s="197"/>
      <c r="Z33" s="197"/>
      <c r="AA33" s="197"/>
      <c r="AB33" s="198"/>
      <c r="AC33" s="220">
        <v>1</v>
      </c>
      <c r="AD33" s="221"/>
      <c r="AE33" s="222"/>
      <c r="AF33" s="202" t="s">
        <v>31</v>
      </c>
      <c r="AG33" s="195"/>
      <c r="AH33" s="212"/>
      <c r="AI33" s="213"/>
      <c r="AJ33" s="213"/>
      <c r="AK33" s="214"/>
      <c r="AL33" s="226">
        <f>コンクリートハツリ工!F24</f>
        <v>2150000.25</v>
      </c>
      <c r="AM33" s="227"/>
      <c r="AN33" s="227"/>
      <c r="AO33" s="227"/>
      <c r="AP33" s="227"/>
      <c r="AQ33" s="227"/>
      <c r="AR33" s="228"/>
      <c r="AS33" s="189"/>
      <c r="AT33" s="190"/>
      <c r="AU33" s="190"/>
      <c r="AV33" s="190"/>
      <c r="AW33" s="190"/>
      <c r="AX33" s="190"/>
      <c r="AY33" s="191"/>
      <c r="BD33" s="215"/>
      <c r="BE33" s="215"/>
      <c r="BF33" s="215"/>
      <c r="BG33" s="215"/>
      <c r="BH33" s="215"/>
      <c r="BI33" s="215"/>
    </row>
    <row r="34" spans="2:73" x14ac:dyDescent="0.45">
      <c r="B34" s="192"/>
      <c r="C34" s="191"/>
      <c r="D34" s="216"/>
      <c r="E34" s="217"/>
      <c r="F34" s="217"/>
      <c r="G34" s="217"/>
      <c r="H34" s="217"/>
      <c r="I34" s="217"/>
      <c r="J34" s="217"/>
      <c r="K34" s="218"/>
      <c r="L34" s="219"/>
      <c r="M34" s="207"/>
      <c r="N34" s="207"/>
      <c r="O34" s="207"/>
      <c r="P34" s="207"/>
      <c r="Q34" s="207"/>
      <c r="R34" s="207"/>
      <c r="S34" s="207"/>
      <c r="T34" s="207"/>
      <c r="U34" s="207"/>
      <c r="V34" s="207"/>
      <c r="W34" s="207"/>
      <c r="X34" s="207"/>
      <c r="Y34" s="207"/>
      <c r="Z34" s="207"/>
      <c r="AA34" s="207"/>
      <c r="AB34" s="208"/>
      <c r="AC34" s="209"/>
      <c r="AD34" s="210"/>
      <c r="AE34" s="211"/>
      <c r="AF34" s="192"/>
      <c r="AG34" s="191"/>
      <c r="AH34" s="212"/>
      <c r="AI34" s="213"/>
      <c r="AJ34" s="213"/>
      <c r="AK34" s="214"/>
      <c r="AL34" s="186"/>
      <c r="AM34" s="187"/>
      <c r="AN34" s="187"/>
      <c r="AO34" s="187"/>
      <c r="AP34" s="187"/>
      <c r="AQ34" s="187"/>
      <c r="AR34" s="188"/>
      <c r="AS34" s="189"/>
      <c r="AT34" s="190"/>
      <c r="AU34" s="190"/>
      <c r="AV34" s="190"/>
      <c r="AW34" s="190"/>
      <c r="AX34" s="190"/>
      <c r="AY34" s="191"/>
      <c r="BD34" s="215"/>
      <c r="BE34" s="215"/>
      <c r="BF34" s="215"/>
      <c r="BG34" s="215"/>
      <c r="BH34" s="215"/>
      <c r="BI34" s="215"/>
    </row>
    <row r="35" spans="2:73" x14ac:dyDescent="0.45">
      <c r="B35" s="192"/>
      <c r="C35" s="191"/>
      <c r="D35" s="223"/>
      <c r="E35" s="224"/>
      <c r="F35" s="224"/>
      <c r="G35" s="224"/>
      <c r="H35" s="224"/>
      <c r="I35" s="224"/>
      <c r="J35" s="224"/>
      <c r="K35" s="225"/>
      <c r="L35" s="196"/>
      <c r="M35" s="197"/>
      <c r="N35" s="197"/>
      <c r="O35" s="197"/>
      <c r="P35" s="197"/>
      <c r="Q35" s="197"/>
      <c r="R35" s="197"/>
      <c r="S35" s="197"/>
      <c r="T35" s="197"/>
      <c r="U35" s="197"/>
      <c r="V35" s="197"/>
      <c r="W35" s="197"/>
      <c r="X35" s="197"/>
      <c r="Y35" s="197"/>
      <c r="Z35" s="197"/>
      <c r="AA35" s="197"/>
      <c r="AB35" s="198"/>
      <c r="AC35" s="220"/>
      <c r="AD35" s="221"/>
      <c r="AE35" s="222"/>
      <c r="AF35" s="202"/>
      <c r="AG35" s="195"/>
      <c r="AH35" s="212"/>
      <c r="AI35" s="213"/>
      <c r="AJ35" s="213"/>
      <c r="AK35" s="214"/>
      <c r="AL35" s="186"/>
      <c r="AM35" s="187"/>
      <c r="AN35" s="187"/>
      <c r="AO35" s="187"/>
      <c r="AP35" s="187"/>
      <c r="AQ35" s="187"/>
      <c r="AR35" s="188"/>
      <c r="AS35" s="189"/>
      <c r="AT35" s="190"/>
      <c r="AU35" s="190"/>
      <c r="AV35" s="190"/>
      <c r="AW35" s="190"/>
      <c r="AX35" s="190"/>
      <c r="AY35" s="191"/>
      <c r="BD35" s="215"/>
      <c r="BE35" s="215"/>
      <c r="BF35" s="215"/>
      <c r="BG35" s="215"/>
      <c r="BH35" s="215"/>
      <c r="BI35" s="215"/>
    </row>
    <row r="36" spans="2:73" x14ac:dyDescent="0.45">
      <c r="B36" s="192"/>
      <c r="C36" s="191"/>
      <c r="D36" s="193"/>
      <c r="E36" s="194"/>
      <c r="F36" s="194"/>
      <c r="G36" s="194"/>
      <c r="H36" s="194"/>
      <c r="I36" s="194"/>
      <c r="J36" s="194"/>
      <c r="K36" s="195"/>
      <c r="L36" s="206"/>
      <c r="M36" s="207"/>
      <c r="N36" s="207"/>
      <c r="O36" s="207"/>
      <c r="P36" s="207"/>
      <c r="Q36" s="207"/>
      <c r="R36" s="207"/>
      <c r="S36" s="207"/>
      <c r="T36" s="207"/>
      <c r="U36" s="207"/>
      <c r="V36" s="207"/>
      <c r="W36" s="207"/>
      <c r="X36" s="207"/>
      <c r="Y36" s="207"/>
      <c r="Z36" s="207"/>
      <c r="AA36" s="207"/>
      <c r="AB36" s="208"/>
      <c r="AC36" s="209"/>
      <c r="AD36" s="210"/>
      <c r="AE36" s="211"/>
      <c r="AF36" s="192"/>
      <c r="AG36" s="191"/>
      <c r="AH36" s="212"/>
      <c r="AI36" s="213"/>
      <c r="AJ36" s="213"/>
      <c r="AK36" s="214"/>
      <c r="AL36" s="186"/>
      <c r="AM36" s="187"/>
      <c r="AN36" s="187"/>
      <c r="AO36" s="187"/>
      <c r="AP36" s="187"/>
      <c r="AQ36" s="187"/>
      <c r="AR36" s="188"/>
      <c r="AS36" s="189"/>
      <c r="AT36" s="190"/>
      <c r="AU36" s="190"/>
      <c r="AV36" s="190"/>
      <c r="AW36" s="190"/>
      <c r="AX36" s="190"/>
      <c r="AY36" s="191"/>
    </row>
    <row r="37" spans="2:73" ht="15" thickBot="1" x14ac:dyDescent="0.5">
      <c r="B37" s="192"/>
      <c r="C37" s="191"/>
      <c r="D37" s="193"/>
      <c r="E37" s="194"/>
      <c r="F37" s="194"/>
      <c r="G37" s="194"/>
      <c r="H37" s="194"/>
      <c r="I37" s="194"/>
      <c r="J37" s="194"/>
      <c r="K37" s="195"/>
      <c r="L37" s="196"/>
      <c r="M37" s="197"/>
      <c r="N37" s="197"/>
      <c r="O37" s="197"/>
      <c r="P37" s="197"/>
      <c r="Q37" s="197"/>
      <c r="R37" s="197"/>
      <c r="S37" s="197"/>
      <c r="T37" s="197"/>
      <c r="U37" s="197"/>
      <c r="V37" s="197"/>
      <c r="W37" s="197"/>
      <c r="X37" s="197"/>
      <c r="Y37" s="197"/>
      <c r="Z37" s="197"/>
      <c r="AA37" s="197"/>
      <c r="AB37" s="198"/>
      <c r="AC37" s="199"/>
      <c r="AD37" s="200"/>
      <c r="AE37" s="201"/>
      <c r="AF37" s="202"/>
      <c r="AG37" s="195"/>
      <c r="AH37" s="203"/>
      <c r="AI37" s="204"/>
      <c r="AJ37" s="204"/>
      <c r="AK37" s="205"/>
      <c r="AL37" s="186"/>
      <c r="AM37" s="187"/>
      <c r="AN37" s="187"/>
      <c r="AO37" s="187"/>
      <c r="AP37" s="187"/>
      <c r="AQ37" s="187"/>
      <c r="AR37" s="188"/>
      <c r="AS37" s="189"/>
      <c r="AT37" s="190"/>
      <c r="AU37" s="190"/>
      <c r="AV37" s="190"/>
      <c r="AW37" s="190"/>
      <c r="AX37" s="190"/>
      <c r="AY37" s="191"/>
      <c r="BD37" s="164"/>
      <c r="BE37" s="165"/>
      <c r="BF37" s="165"/>
      <c r="BG37" s="165"/>
      <c r="BH37" s="165"/>
      <c r="BI37" s="165"/>
      <c r="BJ37" s="165"/>
      <c r="BK37" s="165"/>
      <c r="BL37" s="165"/>
      <c r="BM37" s="166"/>
      <c r="BN37" s="166"/>
      <c r="BO37" s="166"/>
      <c r="BP37" s="166"/>
      <c r="BQ37" s="166"/>
      <c r="BR37" s="166"/>
      <c r="BS37" s="166"/>
      <c r="BT37" s="166"/>
      <c r="BU37" s="167"/>
    </row>
    <row r="38" spans="2:73" ht="13.8" thickBot="1" x14ac:dyDescent="0.5">
      <c r="B38" s="168"/>
      <c r="C38" s="169"/>
      <c r="D38" s="170"/>
      <c r="E38" s="171"/>
      <c r="F38" s="171"/>
      <c r="G38" s="171"/>
      <c r="H38" s="171"/>
      <c r="I38" s="171"/>
      <c r="J38" s="171"/>
      <c r="K38" s="172"/>
      <c r="L38" s="173"/>
      <c r="M38" s="174"/>
      <c r="N38" s="174"/>
      <c r="O38" s="174"/>
      <c r="P38" s="174"/>
      <c r="Q38" s="174"/>
      <c r="R38" s="174"/>
      <c r="S38" s="174"/>
      <c r="T38" s="174"/>
      <c r="U38" s="174"/>
      <c r="V38" s="174"/>
      <c r="W38" s="174"/>
      <c r="X38" s="174"/>
      <c r="Y38" s="174"/>
      <c r="Z38" s="174"/>
      <c r="AA38" s="174"/>
      <c r="AB38" s="175"/>
      <c r="AC38" s="176"/>
      <c r="AD38" s="177"/>
      <c r="AE38" s="178"/>
      <c r="AF38" s="168"/>
      <c r="AG38" s="169"/>
      <c r="AH38" s="179"/>
      <c r="AI38" s="180"/>
      <c r="AJ38" s="180"/>
      <c r="AK38" s="181"/>
      <c r="AL38" s="182"/>
      <c r="AM38" s="183"/>
      <c r="AN38" s="183"/>
      <c r="AO38" s="183"/>
      <c r="AP38" s="183"/>
      <c r="AQ38" s="183"/>
      <c r="AR38" s="184"/>
      <c r="AS38" s="168"/>
      <c r="AT38" s="185"/>
      <c r="AU38" s="185"/>
      <c r="AV38" s="185"/>
      <c r="AW38" s="185"/>
      <c r="AX38" s="185"/>
      <c r="AY38" s="169"/>
      <c r="BD38" s="140" t="s">
        <v>32</v>
      </c>
      <c r="BE38" s="141"/>
      <c r="BF38" s="141"/>
      <c r="BG38" s="141"/>
      <c r="BH38" s="141"/>
      <c r="BI38" s="141"/>
      <c r="BJ38" s="141" t="s">
        <v>33</v>
      </c>
      <c r="BK38" s="141"/>
      <c r="BL38" s="141"/>
      <c r="BM38" s="141"/>
      <c r="BN38" s="141"/>
      <c r="BO38" s="141"/>
      <c r="BP38" s="141" t="s">
        <v>34</v>
      </c>
      <c r="BQ38" s="141"/>
      <c r="BR38" s="141"/>
      <c r="BS38" s="141"/>
      <c r="BT38" s="141"/>
      <c r="BU38" s="142"/>
    </row>
    <row r="39" spans="2:73" ht="14.4" thickTop="1" thickBot="1" x14ac:dyDescent="0.5">
      <c r="B39" s="143"/>
      <c r="C39" s="144"/>
      <c r="D39" s="145" t="s">
        <v>35</v>
      </c>
      <c r="E39" s="146"/>
      <c r="F39" s="146"/>
      <c r="G39" s="146"/>
      <c r="H39" s="146"/>
      <c r="I39" s="146"/>
      <c r="J39" s="146"/>
      <c r="K39" s="147"/>
      <c r="L39" s="143"/>
      <c r="M39" s="148"/>
      <c r="N39" s="148"/>
      <c r="O39" s="148"/>
      <c r="P39" s="148"/>
      <c r="Q39" s="148"/>
      <c r="R39" s="148"/>
      <c r="S39" s="148"/>
      <c r="T39" s="148"/>
      <c r="U39" s="148"/>
      <c r="V39" s="148"/>
      <c r="W39" s="148"/>
      <c r="X39" s="148"/>
      <c r="Y39" s="148"/>
      <c r="Z39" s="148"/>
      <c r="AA39" s="148"/>
      <c r="AB39" s="144"/>
      <c r="AC39" s="149"/>
      <c r="AD39" s="150"/>
      <c r="AE39" s="151"/>
      <c r="AF39" s="143"/>
      <c r="AG39" s="144"/>
      <c r="AH39" s="152"/>
      <c r="AI39" s="153"/>
      <c r="AJ39" s="153"/>
      <c r="AK39" s="154"/>
      <c r="AL39" s="155">
        <f>SUM(AL26:AR38)</f>
        <v>109149999.55</v>
      </c>
      <c r="AM39" s="156"/>
      <c r="AN39" s="156"/>
      <c r="AO39" s="156"/>
      <c r="AP39" s="156"/>
      <c r="AQ39" s="156"/>
      <c r="AR39" s="157"/>
      <c r="AS39" s="158"/>
      <c r="AT39" s="148"/>
      <c r="AU39" s="148"/>
      <c r="AV39" s="148"/>
      <c r="AW39" s="148"/>
      <c r="AX39" s="148"/>
      <c r="AY39" s="144"/>
      <c r="BD39" s="159" t="e">
        <f>'[3]WJハツリ～床板補修～WJ研掃'!L25</f>
        <v>#DIV/0!</v>
      </c>
      <c r="BE39" s="160"/>
      <c r="BF39" s="160"/>
      <c r="BG39" s="160"/>
      <c r="BH39" s="160"/>
      <c r="BI39" s="160"/>
      <c r="BJ39" s="161" t="e">
        <f>AL39-BD39</f>
        <v>#DIV/0!</v>
      </c>
      <c r="BK39" s="161"/>
      <c r="BL39" s="161"/>
      <c r="BM39" s="161"/>
      <c r="BN39" s="161"/>
      <c r="BO39" s="161"/>
      <c r="BP39" s="162" t="e">
        <f>BD39/AL39</f>
        <v>#DIV/0!</v>
      </c>
      <c r="BQ39" s="162"/>
      <c r="BR39" s="162"/>
      <c r="BS39" s="162"/>
      <c r="BT39" s="162"/>
      <c r="BU39" s="163"/>
    </row>
    <row r="40" spans="2:73" ht="18.75" customHeight="1" x14ac:dyDescent="0.45">
      <c r="AL40" s="137"/>
      <c r="AM40" s="137"/>
      <c r="AN40" s="137"/>
      <c r="AO40" s="137"/>
      <c r="AP40" s="137"/>
      <c r="AQ40" s="137"/>
      <c r="AR40" s="137"/>
      <c r="AS40" s="138" t="s">
        <v>36</v>
      </c>
      <c r="AT40" s="138"/>
      <c r="AU40" s="138"/>
      <c r="AV40" s="138"/>
      <c r="AW40" s="138"/>
      <c r="AX40" s="138"/>
      <c r="AY40" s="138"/>
      <c r="AZ40" s="139" t="e">
        <f>BD39/AL40</f>
        <v>#DIV/0!</v>
      </c>
      <c r="BA40" s="139"/>
      <c r="BB40" s="139"/>
      <c r="BC40" s="139"/>
    </row>
  </sheetData>
  <mergeCells count="160">
    <mergeCell ref="AS1:AY1"/>
    <mergeCell ref="A2:AY3"/>
    <mergeCell ref="B4:P5"/>
    <mergeCell ref="Q4:T5"/>
    <mergeCell ref="B7:E7"/>
    <mergeCell ref="F7:AF7"/>
    <mergeCell ref="B11:E11"/>
    <mergeCell ref="F11:Z11"/>
    <mergeCell ref="B12:E12"/>
    <mergeCell ref="F12:Z12"/>
    <mergeCell ref="B13:E13"/>
    <mergeCell ref="F13:Z13"/>
    <mergeCell ref="B8:E8"/>
    <mergeCell ref="F8:Z8"/>
    <mergeCell ref="B9:E9"/>
    <mergeCell ref="G9:O9"/>
    <mergeCell ref="Q9:Z9"/>
    <mergeCell ref="B10:E10"/>
    <mergeCell ref="F10:Z10"/>
    <mergeCell ref="B22:T23"/>
    <mergeCell ref="U22:AD23"/>
    <mergeCell ref="B25:C25"/>
    <mergeCell ref="D25:K25"/>
    <mergeCell ref="L25:AB25"/>
    <mergeCell ref="AC25:AE25"/>
    <mergeCell ref="B14:E14"/>
    <mergeCell ref="F14:Z14"/>
    <mergeCell ref="B20:T20"/>
    <mergeCell ref="U20:AD20"/>
    <mergeCell ref="B21:T21"/>
    <mergeCell ref="U21:AD21"/>
    <mergeCell ref="AF25:AG25"/>
    <mergeCell ref="AH25:AK25"/>
    <mergeCell ref="AL25:AR25"/>
    <mergeCell ref="AS25:AY25"/>
    <mergeCell ref="B26:C26"/>
    <mergeCell ref="D26:K26"/>
    <mergeCell ref="L26:AB26"/>
    <mergeCell ref="AC26:AE26"/>
    <mergeCell ref="AF26:AG26"/>
    <mergeCell ref="AH26:AK26"/>
    <mergeCell ref="AL26:AR26"/>
    <mergeCell ref="AS26:AY26"/>
    <mergeCell ref="B27:C27"/>
    <mergeCell ref="D27:K27"/>
    <mergeCell ref="L27:AB27"/>
    <mergeCell ref="AC27:AE27"/>
    <mergeCell ref="AF27:AG27"/>
    <mergeCell ref="AH27:AK27"/>
    <mergeCell ref="AL27:AR27"/>
    <mergeCell ref="AS27:AY27"/>
    <mergeCell ref="AL28:AR28"/>
    <mergeCell ref="AS28:AY28"/>
    <mergeCell ref="B29:C29"/>
    <mergeCell ref="D29:K29"/>
    <mergeCell ref="L29:AB29"/>
    <mergeCell ref="AC29:AE29"/>
    <mergeCell ref="AF29:AG29"/>
    <mergeCell ref="AH29:AK29"/>
    <mergeCell ref="AL29:AR29"/>
    <mergeCell ref="AS29:AY29"/>
    <mergeCell ref="B28:C28"/>
    <mergeCell ref="D28:K28"/>
    <mergeCell ref="L28:AB28"/>
    <mergeCell ref="AC28:AE28"/>
    <mergeCell ref="AF28:AG28"/>
    <mergeCell ref="AH28:AK28"/>
    <mergeCell ref="AL30:AR30"/>
    <mergeCell ref="AS30:AY30"/>
    <mergeCell ref="BD30:BI30"/>
    <mergeCell ref="B31:C31"/>
    <mergeCell ref="D31:K31"/>
    <mergeCell ref="L31:AB31"/>
    <mergeCell ref="AC31:AE31"/>
    <mergeCell ref="AF31:AG31"/>
    <mergeCell ref="AH31:AK31"/>
    <mergeCell ref="AL31:AR31"/>
    <mergeCell ref="B30:C30"/>
    <mergeCell ref="D30:K30"/>
    <mergeCell ref="L30:AB30"/>
    <mergeCell ref="AC30:AE30"/>
    <mergeCell ref="AF30:AG30"/>
    <mergeCell ref="AH30:AK30"/>
    <mergeCell ref="AS31:AY31"/>
    <mergeCell ref="B32:C32"/>
    <mergeCell ref="D32:K32"/>
    <mergeCell ref="L32:AB32"/>
    <mergeCell ref="AC32:AE32"/>
    <mergeCell ref="AF32:AG32"/>
    <mergeCell ref="AH32:AK32"/>
    <mergeCell ref="AL32:AR32"/>
    <mergeCell ref="AS32:AY32"/>
    <mergeCell ref="AL33:AR33"/>
    <mergeCell ref="AS33:AY33"/>
    <mergeCell ref="BD33:BI35"/>
    <mergeCell ref="B34:C34"/>
    <mergeCell ref="D34:K34"/>
    <mergeCell ref="L34:AB34"/>
    <mergeCell ref="AC34:AE34"/>
    <mergeCell ref="AF34:AG34"/>
    <mergeCell ref="AH34:AK34"/>
    <mergeCell ref="AL34:AR34"/>
    <mergeCell ref="B33:C33"/>
    <mergeCell ref="D33:K33"/>
    <mergeCell ref="L33:AB33"/>
    <mergeCell ref="AC33:AE33"/>
    <mergeCell ref="AF33:AG33"/>
    <mergeCell ref="AH33:AK33"/>
    <mergeCell ref="AS34:AY34"/>
    <mergeCell ref="B35:C35"/>
    <mergeCell ref="D35:K35"/>
    <mergeCell ref="L35:AB35"/>
    <mergeCell ref="AC35:AE35"/>
    <mergeCell ref="AF35:AG35"/>
    <mergeCell ref="AH35:AK35"/>
    <mergeCell ref="AL35:AR35"/>
    <mergeCell ref="AS35:AY35"/>
    <mergeCell ref="AL36:AR36"/>
    <mergeCell ref="AS36:AY36"/>
    <mergeCell ref="B37:C37"/>
    <mergeCell ref="D37:K37"/>
    <mergeCell ref="L37:AB37"/>
    <mergeCell ref="AC37:AE37"/>
    <mergeCell ref="AF37:AG37"/>
    <mergeCell ref="AH37:AK37"/>
    <mergeCell ref="AL37:AR37"/>
    <mergeCell ref="AS37:AY37"/>
    <mergeCell ref="B36:C36"/>
    <mergeCell ref="D36:K36"/>
    <mergeCell ref="L36:AB36"/>
    <mergeCell ref="AC36:AE36"/>
    <mergeCell ref="AF36:AG36"/>
    <mergeCell ref="AH36:AK36"/>
    <mergeCell ref="BD37:BL37"/>
    <mergeCell ref="BM37:BU37"/>
    <mergeCell ref="B38:C38"/>
    <mergeCell ref="D38:K38"/>
    <mergeCell ref="L38:AB38"/>
    <mergeCell ref="AC38:AE38"/>
    <mergeCell ref="AF38:AG38"/>
    <mergeCell ref="AH38:AK38"/>
    <mergeCell ref="AL38:AR38"/>
    <mergeCell ref="AS38:AY38"/>
    <mergeCell ref="AL40:AR40"/>
    <mergeCell ref="AS40:AY40"/>
    <mergeCell ref="AZ40:BC40"/>
    <mergeCell ref="BD38:BI38"/>
    <mergeCell ref="BJ38:BO38"/>
    <mergeCell ref="BP38:BU38"/>
    <mergeCell ref="B39:C39"/>
    <mergeCell ref="D39:K39"/>
    <mergeCell ref="L39:AB39"/>
    <mergeCell ref="AC39:AE39"/>
    <mergeCell ref="AF39:AG39"/>
    <mergeCell ref="AH39:AK39"/>
    <mergeCell ref="AL39:AR39"/>
    <mergeCell ref="AS39:AY39"/>
    <mergeCell ref="BD39:BI39"/>
    <mergeCell ref="BJ39:BO39"/>
    <mergeCell ref="BP39:BU39"/>
  </mergeCells>
  <phoneticPr fontId="3"/>
  <printOptions horizontalCentered="1" verticalCentered="1"/>
  <pageMargins left="0.23622047244094491" right="0.23622047244094491" top="0.74803149606299213" bottom="0.74803149606299213" header="0.31496062992125984" footer="0.31496062992125984"/>
  <pageSetup paperSize="9" scale="90" orientation="landscape" r:id="rId1"/>
  <headerFooter alignWithMargins="0">
    <oddHeader>&amp;R&amp;P / &amp;N ページ</oddHeader>
    <oddFooter>&amp;R株式会社 サンユウテック</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E6234-909F-4ED6-8AEC-A93E908B1685}">
  <sheetPr codeName="Sheet2">
    <pageSetUpPr fitToPage="1"/>
  </sheetPr>
  <dimension ref="A1:N51"/>
  <sheetViews>
    <sheetView tabSelected="1" view="pageBreakPreview" topLeftCell="A14" zoomScale="90" zoomScaleNormal="100" zoomScaleSheetLayoutView="90" workbookViewId="0">
      <selection activeCell="B7" sqref="F7:AF7"/>
    </sheetView>
  </sheetViews>
  <sheetFormatPr defaultRowHeight="18" x14ac:dyDescent="0.45"/>
  <cols>
    <col min="1" max="1" width="29.09765625" customWidth="1"/>
    <col min="2" max="2" width="31.3984375" customWidth="1"/>
    <col min="3" max="3" width="12.5" customWidth="1"/>
    <col min="4" max="4" width="12" style="28" customWidth="1"/>
    <col min="5" max="6" width="15.8984375" style="28" customWidth="1"/>
    <col min="7" max="7" width="20.3984375" customWidth="1"/>
    <col min="8" max="8" width="4.69921875" customWidth="1"/>
    <col min="9" max="9" width="12.5" customWidth="1"/>
    <col min="10" max="10" width="12" style="28" customWidth="1"/>
    <col min="11" max="12" width="15.8984375" style="28" customWidth="1"/>
    <col min="13" max="13" width="9.3984375" bestFit="1" customWidth="1"/>
  </cols>
  <sheetData>
    <row r="1" spans="1:12" ht="23.4" customHeight="1" thickTop="1" thickBot="1" x14ac:dyDescent="0.5">
      <c r="A1" s="258" t="s">
        <v>276</v>
      </c>
      <c r="B1" s="258"/>
      <c r="C1" s="258"/>
      <c r="D1" s="258"/>
      <c r="E1" s="258"/>
      <c r="F1" s="258"/>
      <c r="G1" s="258"/>
      <c r="I1" s="259" t="s">
        <v>37</v>
      </c>
      <c r="J1" s="260"/>
      <c r="K1" s="259"/>
      <c r="L1" s="260"/>
    </row>
    <row r="2" spans="1:12" ht="23.4" customHeight="1" thickTop="1" x14ac:dyDescent="0.45">
      <c r="A2" s="127"/>
      <c r="B2" s="127" t="s">
        <v>39</v>
      </c>
      <c r="C2" s="127" t="s">
        <v>40</v>
      </c>
      <c r="D2" s="128" t="s">
        <v>41</v>
      </c>
      <c r="E2" s="128" t="s">
        <v>42</v>
      </c>
      <c r="F2" s="128" t="s">
        <v>43</v>
      </c>
      <c r="G2" s="127" t="s">
        <v>44</v>
      </c>
      <c r="I2" s="14" t="s">
        <v>40</v>
      </c>
      <c r="J2" s="15" t="s">
        <v>41</v>
      </c>
      <c r="K2" s="15" t="s">
        <v>42</v>
      </c>
      <c r="L2" s="15" t="s">
        <v>43</v>
      </c>
    </row>
    <row r="3" spans="1:12" ht="23.4" customHeight="1" x14ac:dyDescent="0.45">
      <c r="A3" s="16" t="s">
        <v>259</v>
      </c>
      <c r="B3" s="17"/>
      <c r="C3" s="17"/>
      <c r="D3" s="51"/>
      <c r="E3" s="51"/>
      <c r="F3" s="51"/>
      <c r="G3" s="17"/>
      <c r="I3" s="19"/>
      <c r="J3" s="18"/>
      <c r="K3" s="18"/>
      <c r="L3" s="18"/>
    </row>
    <row r="4" spans="1:12" ht="23.4" customHeight="1" x14ac:dyDescent="0.45">
      <c r="A4" s="20" t="s">
        <v>260</v>
      </c>
      <c r="B4" s="61" t="s">
        <v>261</v>
      </c>
      <c r="C4" s="22">
        <v>1515.9</v>
      </c>
      <c r="D4" s="23" t="s">
        <v>102</v>
      </c>
      <c r="E4" s="52">
        <v>700</v>
      </c>
      <c r="F4" s="51">
        <f>SUM(C4*E4)</f>
        <v>1061130</v>
      </c>
      <c r="G4" s="20" t="s">
        <v>263</v>
      </c>
      <c r="I4" s="19">
        <f>SUM(F4/3)</f>
        <v>353710</v>
      </c>
      <c r="J4" s="23"/>
      <c r="K4" s="24"/>
      <c r="L4" s="18"/>
    </row>
    <row r="5" spans="1:12" ht="23.4" customHeight="1" x14ac:dyDescent="0.45">
      <c r="A5" s="20"/>
      <c r="B5" s="61"/>
      <c r="C5" s="22"/>
      <c r="D5" s="23"/>
      <c r="E5" s="52"/>
      <c r="F5" s="51"/>
      <c r="G5" s="20"/>
      <c r="I5" s="19">
        <f t="shared" ref="I5:I7" si="0">SUM(F5/3)</f>
        <v>0</v>
      </c>
      <c r="J5" s="23"/>
      <c r="K5" s="24"/>
      <c r="L5" s="18">
        <f>SUM(I5*K5)</f>
        <v>0</v>
      </c>
    </row>
    <row r="6" spans="1:12" ht="23.4" customHeight="1" x14ac:dyDescent="0.45">
      <c r="A6" s="20"/>
      <c r="B6" s="61"/>
      <c r="C6" s="22"/>
      <c r="D6" s="23"/>
      <c r="E6" s="52"/>
      <c r="F6" s="51"/>
      <c r="G6" s="20"/>
      <c r="I6" s="19">
        <f t="shared" si="0"/>
        <v>0</v>
      </c>
      <c r="J6" s="23"/>
      <c r="K6" s="24"/>
      <c r="L6" s="18"/>
    </row>
    <row r="7" spans="1:12" ht="23.4" customHeight="1" x14ac:dyDescent="0.45">
      <c r="A7" s="20"/>
      <c r="B7" s="61"/>
      <c r="C7" s="22"/>
      <c r="D7" s="23"/>
      <c r="E7" s="52"/>
      <c r="F7" s="51"/>
      <c r="G7" s="20"/>
      <c r="I7" s="19">
        <f t="shared" si="0"/>
        <v>0</v>
      </c>
      <c r="J7" s="43"/>
      <c r="K7" s="24"/>
      <c r="L7" s="18">
        <f>SUM(I7*K7)</f>
        <v>0</v>
      </c>
    </row>
    <row r="8" spans="1:12" ht="23.4" customHeight="1" x14ac:dyDescent="0.45">
      <c r="A8" s="60"/>
      <c r="B8" s="61"/>
      <c r="C8" s="53"/>
      <c r="D8" s="33"/>
      <c r="E8" s="52"/>
      <c r="F8" s="51"/>
      <c r="G8" s="20"/>
      <c r="I8" s="19">
        <f>SUM(F8/3)</f>
        <v>0</v>
      </c>
      <c r="J8" s="23"/>
      <c r="K8" s="24"/>
      <c r="L8" s="26"/>
    </row>
    <row r="9" spans="1:12" ht="23.4" customHeight="1" x14ac:dyDescent="0.45">
      <c r="A9" s="16" t="s">
        <v>258</v>
      </c>
      <c r="B9" s="61"/>
      <c r="C9" s="22"/>
      <c r="D9" s="23"/>
      <c r="E9" s="52"/>
      <c r="F9" s="51"/>
      <c r="G9" s="20"/>
      <c r="I9" s="19">
        <f t="shared" ref="I9" si="1">SUM(F9/3)</f>
        <v>0</v>
      </c>
      <c r="J9" s="43"/>
      <c r="K9" s="24"/>
      <c r="L9" s="18">
        <f>SUM(I9*K9)</f>
        <v>0</v>
      </c>
    </row>
    <row r="10" spans="1:12" ht="23.4" customHeight="1" x14ac:dyDescent="0.45">
      <c r="A10" s="20" t="s">
        <v>258</v>
      </c>
      <c r="B10" s="61" t="s">
        <v>262</v>
      </c>
      <c r="C10" s="22">
        <v>5588.5</v>
      </c>
      <c r="D10" s="23" t="s">
        <v>102</v>
      </c>
      <c r="E10" s="52">
        <v>1500</v>
      </c>
      <c r="F10" s="51">
        <f t="shared" ref="F10" si="2">SUM(C10*E10)</f>
        <v>8382750</v>
      </c>
      <c r="G10" s="20" t="s">
        <v>264</v>
      </c>
      <c r="I10" s="19">
        <f>SUM(C10/450)</f>
        <v>12.418888888888889</v>
      </c>
      <c r="J10" s="23">
        <f>SUM(F10/I10)</f>
        <v>675000</v>
      </c>
      <c r="K10" s="24"/>
      <c r="L10" s="18"/>
    </row>
    <row r="11" spans="1:12" ht="23.4" customHeight="1" x14ac:dyDescent="0.45">
      <c r="A11" s="66"/>
      <c r="B11" s="61"/>
      <c r="C11" s="22"/>
      <c r="D11" s="23"/>
      <c r="E11" s="52"/>
      <c r="F11" s="51"/>
      <c r="G11" s="20"/>
      <c r="I11" s="19">
        <f>SUM(F11/1)</f>
        <v>0</v>
      </c>
      <c r="J11" s="23"/>
      <c r="K11" s="24"/>
      <c r="L11" s="18"/>
    </row>
    <row r="12" spans="1:12" ht="23.4" customHeight="1" x14ac:dyDescent="0.45">
      <c r="A12" s="68"/>
      <c r="B12" s="61"/>
      <c r="C12" s="22"/>
      <c r="D12" s="23"/>
      <c r="E12" s="52"/>
      <c r="F12" s="51"/>
      <c r="G12" s="20"/>
      <c r="I12" s="19"/>
      <c r="J12" s="23"/>
      <c r="K12" s="24"/>
      <c r="L12" s="18"/>
    </row>
    <row r="13" spans="1:12" ht="23.4" customHeight="1" x14ac:dyDescent="0.45">
      <c r="A13" s="16"/>
      <c r="B13" s="61"/>
      <c r="C13" s="22"/>
      <c r="D13" s="23"/>
      <c r="E13" s="52"/>
      <c r="F13" s="51"/>
      <c r="G13" s="20"/>
      <c r="I13" s="19"/>
      <c r="J13" s="23"/>
      <c r="K13" s="24"/>
      <c r="L13" s="18"/>
    </row>
    <row r="14" spans="1:12" ht="23.4" customHeight="1" x14ac:dyDescent="0.45">
      <c r="A14" s="67"/>
      <c r="B14" s="61"/>
      <c r="C14" s="22"/>
      <c r="D14" s="23"/>
      <c r="E14" s="52"/>
      <c r="F14" s="51"/>
      <c r="G14" s="20"/>
      <c r="I14" s="19">
        <f>SUM(F14/3)</f>
        <v>0</v>
      </c>
      <c r="J14" s="23"/>
      <c r="K14" s="24"/>
      <c r="L14" s="18"/>
    </row>
    <row r="15" spans="1:12" ht="23.4" customHeight="1" x14ac:dyDescent="0.45">
      <c r="A15" s="68"/>
      <c r="B15" s="61"/>
      <c r="C15" s="22"/>
      <c r="D15" s="23"/>
      <c r="E15" s="52"/>
      <c r="F15" s="51"/>
      <c r="G15" s="20"/>
      <c r="I15" s="19">
        <f>SUM(F15/3)</f>
        <v>0</v>
      </c>
      <c r="J15" s="23"/>
      <c r="K15" s="24"/>
      <c r="L15" s="18"/>
    </row>
    <row r="16" spans="1:12" ht="23.4" customHeight="1" x14ac:dyDescent="0.45">
      <c r="A16" s="66"/>
      <c r="B16" s="61"/>
      <c r="C16" s="22"/>
      <c r="D16" s="23"/>
      <c r="E16" s="52"/>
      <c r="F16" s="51"/>
      <c r="G16" s="20"/>
      <c r="I16" s="19"/>
      <c r="J16" s="23"/>
      <c r="K16" s="24"/>
      <c r="L16" s="18"/>
    </row>
    <row r="17" spans="1:14" ht="23.4" customHeight="1" x14ac:dyDescent="0.45">
      <c r="A17" s="29" t="s">
        <v>45</v>
      </c>
      <c r="B17" s="21"/>
      <c r="C17" s="22">
        <v>1</v>
      </c>
      <c r="D17" s="23" t="s">
        <v>31</v>
      </c>
      <c r="E17" s="24">
        <f>SUM(F4:F16)</f>
        <v>9443880</v>
      </c>
      <c r="F17" s="18"/>
      <c r="G17" s="17"/>
      <c r="I17" s="19"/>
      <c r="J17" s="23"/>
      <c r="K17" s="24"/>
      <c r="L17" s="18"/>
    </row>
    <row r="18" spans="1:14" ht="23.4" customHeight="1" x14ac:dyDescent="0.45">
      <c r="A18" s="29"/>
      <c r="B18" s="17"/>
      <c r="C18" s="22"/>
      <c r="D18" s="23"/>
      <c r="E18" s="24"/>
      <c r="F18" s="18"/>
      <c r="G18" s="17"/>
      <c r="I18" s="19"/>
      <c r="J18" s="23"/>
      <c r="K18" s="24"/>
      <c r="L18" s="18"/>
    </row>
    <row r="19" spans="1:14" ht="23.4" customHeight="1" x14ac:dyDescent="0.45">
      <c r="A19" s="29" t="s">
        <v>47</v>
      </c>
      <c r="B19" s="17"/>
      <c r="C19" s="22">
        <v>1</v>
      </c>
      <c r="D19" s="23" t="s">
        <v>31</v>
      </c>
      <c r="E19" s="24">
        <f>SUM(E17*16%)</f>
        <v>1511020.8</v>
      </c>
      <c r="F19" s="18">
        <f>C19*E19</f>
        <v>1511020.8</v>
      </c>
      <c r="G19" s="83" t="s">
        <v>255</v>
      </c>
      <c r="I19" s="19"/>
      <c r="J19" s="23"/>
      <c r="K19" s="24"/>
      <c r="L19" s="18"/>
    </row>
    <row r="20" spans="1:14" ht="23.4" customHeight="1" x14ac:dyDescent="0.45">
      <c r="A20" s="29" t="s">
        <v>49</v>
      </c>
      <c r="B20" s="17"/>
      <c r="C20" s="22">
        <v>1</v>
      </c>
      <c r="D20" s="23" t="s">
        <v>31</v>
      </c>
      <c r="E20" s="24">
        <f>SUM(E17)*0.15</f>
        <v>1416582</v>
      </c>
      <c r="F20" s="18">
        <f>C20*E20</f>
        <v>1416582</v>
      </c>
      <c r="G20" s="17"/>
      <c r="I20" s="22">
        <f>SUM(C4:C15)</f>
        <v>7104.4</v>
      </c>
      <c r="J20" s="23"/>
      <c r="K20" s="24">
        <f>SUM(L20/I20)</f>
        <v>24.236670232531953</v>
      </c>
      <c r="L20" s="18">
        <v>172187</v>
      </c>
    </row>
    <row r="21" spans="1:14" ht="23.4" customHeight="1" x14ac:dyDescent="0.45">
      <c r="A21" s="29" t="s">
        <v>50</v>
      </c>
      <c r="B21" s="17"/>
      <c r="C21" s="22">
        <v>1</v>
      </c>
      <c r="D21" s="23" t="s">
        <v>31</v>
      </c>
      <c r="E21" s="24">
        <v>-13257</v>
      </c>
      <c r="F21" s="18">
        <f>C21*E21</f>
        <v>-13257</v>
      </c>
      <c r="G21" s="261" t="s">
        <v>115</v>
      </c>
      <c r="I21" s="19">
        <f>SUM(E21/20)</f>
        <v>-662.85</v>
      </c>
      <c r="J21" s="23"/>
      <c r="K21" s="24"/>
      <c r="L21" s="18"/>
    </row>
    <row r="22" spans="1:14" ht="23.4" customHeight="1" x14ac:dyDescent="0.45">
      <c r="A22" s="29" t="s">
        <v>51</v>
      </c>
      <c r="C22" s="22">
        <v>1</v>
      </c>
      <c r="D22" s="23" t="s">
        <v>31</v>
      </c>
      <c r="E22" s="24">
        <f>SUM(E17)*6.5%</f>
        <v>613852.20000000007</v>
      </c>
      <c r="F22" s="18">
        <v>941774</v>
      </c>
      <c r="G22" s="261"/>
      <c r="I22" s="19"/>
      <c r="J22" s="23"/>
      <c r="K22" s="24"/>
      <c r="L22" s="18"/>
    </row>
    <row r="23" spans="1:14" ht="23.4" customHeight="1" x14ac:dyDescent="0.45">
      <c r="A23" s="59" t="s">
        <v>52</v>
      </c>
      <c r="B23" s="17"/>
      <c r="C23" s="30">
        <f>SUM(C4:C15)</f>
        <v>7104.4</v>
      </c>
      <c r="D23" s="31" t="s">
        <v>102</v>
      </c>
      <c r="E23" s="62">
        <f>SUM(F23/C23)</f>
        <v>1872.0792466640394</v>
      </c>
      <c r="F23" s="18">
        <f>SUM(F4:F22)</f>
        <v>13299999.800000001</v>
      </c>
      <c r="G23" s="17"/>
      <c r="I23" s="19">
        <f>SUM(F23/20)</f>
        <v>664999.99</v>
      </c>
      <c r="J23" s="23"/>
      <c r="K23" s="24"/>
      <c r="L23" s="18">
        <v>14600000</v>
      </c>
      <c r="M23" s="81">
        <f>SUM(F23-L23)</f>
        <v>-1300000.1999999993</v>
      </c>
      <c r="N23" s="27">
        <f>SUM(M23/L23)</f>
        <v>-8.9041109589041045E-2</v>
      </c>
    </row>
    <row r="24" spans="1:14" ht="23.4" customHeight="1" x14ac:dyDescent="0.45">
      <c r="A24" s="262" t="s">
        <v>53</v>
      </c>
      <c r="B24" s="262"/>
      <c r="C24" s="262"/>
      <c r="D24" s="262"/>
      <c r="E24" s="262"/>
      <c r="F24" s="262"/>
      <c r="G24" s="262"/>
      <c r="I24" s="32"/>
      <c r="J24" s="33"/>
      <c r="K24" s="34"/>
      <c r="L24" s="34"/>
    </row>
    <row r="25" spans="1:14" ht="23.4" customHeight="1" x14ac:dyDescent="0.45">
      <c r="A25" s="63" t="s">
        <v>38</v>
      </c>
      <c r="B25" s="63" t="s">
        <v>39</v>
      </c>
      <c r="C25" s="63" t="s">
        <v>40</v>
      </c>
      <c r="D25" s="64" t="s">
        <v>41</v>
      </c>
      <c r="E25" s="64" t="s">
        <v>42</v>
      </c>
      <c r="F25" s="64" t="s">
        <v>43</v>
      </c>
      <c r="G25" s="63" t="s">
        <v>44</v>
      </c>
      <c r="I25" s="19"/>
      <c r="J25" s="23"/>
      <c r="K25" s="18"/>
      <c r="L25" s="18"/>
    </row>
    <row r="26" spans="1:14" ht="20.100000000000001" customHeight="1" x14ac:dyDescent="0.45">
      <c r="A26" s="16" t="s">
        <v>54</v>
      </c>
      <c r="B26" s="17"/>
      <c r="C26" s="17"/>
      <c r="D26" s="18"/>
      <c r="E26" s="18"/>
      <c r="F26" s="18"/>
      <c r="G26" s="17"/>
      <c r="I26" s="19"/>
      <c r="J26" s="23"/>
      <c r="K26" s="18"/>
      <c r="L26" s="18"/>
    </row>
    <row r="27" spans="1:14" ht="20.100000000000001" customHeight="1" x14ac:dyDescent="0.45">
      <c r="A27" s="29" t="s">
        <v>55</v>
      </c>
      <c r="B27" s="35" t="s">
        <v>106</v>
      </c>
      <c r="C27" s="36">
        <v>1</v>
      </c>
      <c r="D27" s="23" t="s">
        <v>56</v>
      </c>
      <c r="E27" s="18">
        <v>29000</v>
      </c>
      <c r="F27" s="18">
        <f>SUM(E27*C27)</f>
        <v>29000</v>
      </c>
      <c r="G27" s="17"/>
      <c r="I27" s="19"/>
      <c r="J27" s="23"/>
      <c r="K27" s="18"/>
      <c r="L27" s="18"/>
    </row>
    <row r="28" spans="1:14" ht="20.100000000000001" customHeight="1" x14ac:dyDescent="0.45">
      <c r="A28" s="29" t="s">
        <v>57</v>
      </c>
      <c r="B28" s="35" t="s">
        <v>106</v>
      </c>
      <c r="C28" s="36">
        <v>3</v>
      </c>
      <c r="D28" s="23" t="s">
        <v>56</v>
      </c>
      <c r="E28" s="18">
        <v>25600</v>
      </c>
      <c r="F28" s="18">
        <f>SUM(E28*C28)</f>
        <v>76800</v>
      </c>
      <c r="G28" s="17"/>
      <c r="I28" s="17"/>
      <c r="J28" s="18"/>
      <c r="K28" s="18"/>
      <c r="L28" s="18"/>
    </row>
    <row r="29" spans="1:14" ht="20.100000000000001" customHeight="1" x14ac:dyDescent="0.45">
      <c r="A29" s="29" t="s">
        <v>58</v>
      </c>
      <c r="B29" s="35" t="s">
        <v>106</v>
      </c>
      <c r="C29" s="36">
        <v>2</v>
      </c>
      <c r="D29" s="23" t="s">
        <v>56</v>
      </c>
      <c r="E29" s="18">
        <v>24800</v>
      </c>
      <c r="F29" s="18">
        <f>SUM(E29*C29)</f>
        <v>49600</v>
      </c>
      <c r="G29" s="17"/>
      <c r="I29" s="17"/>
      <c r="J29" s="18"/>
      <c r="K29" s="18"/>
      <c r="L29" s="18"/>
    </row>
    <row r="30" spans="1:14" ht="20.100000000000001" customHeight="1" x14ac:dyDescent="0.45">
      <c r="A30" s="29" t="s">
        <v>59</v>
      </c>
      <c r="B30" s="35" t="s">
        <v>106</v>
      </c>
      <c r="C30" s="36">
        <v>4</v>
      </c>
      <c r="D30" s="23" t="s">
        <v>56</v>
      </c>
      <c r="E30" s="18">
        <v>21900</v>
      </c>
      <c r="F30" s="18">
        <f>SUM(E30*C30)</f>
        <v>87600</v>
      </c>
      <c r="G30" s="17"/>
      <c r="I30" s="17"/>
      <c r="J30" s="18"/>
      <c r="K30" s="18"/>
      <c r="L30" s="37">
        <f>SUM(L3:L27)</f>
        <v>14772187</v>
      </c>
    </row>
    <row r="31" spans="1:14" ht="20.100000000000001" customHeight="1" x14ac:dyDescent="0.45">
      <c r="A31" s="29" t="s">
        <v>60</v>
      </c>
      <c r="B31" s="35" t="s">
        <v>106</v>
      </c>
      <c r="C31" s="36">
        <v>2</v>
      </c>
      <c r="D31" s="23" t="s">
        <v>56</v>
      </c>
      <c r="E31" s="18">
        <v>22400</v>
      </c>
      <c r="F31" s="18">
        <f>SUM(E31*C31)</f>
        <v>44800</v>
      </c>
      <c r="G31" s="17"/>
      <c r="J31"/>
      <c r="K31"/>
      <c r="L31"/>
    </row>
    <row r="32" spans="1:14" ht="20.100000000000001" customHeight="1" x14ac:dyDescent="0.45">
      <c r="A32" s="29"/>
      <c r="B32" s="35"/>
      <c r="C32" s="36"/>
      <c r="D32" s="23"/>
      <c r="E32" s="18"/>
      <c r="F32" s="18"/>
      <c r="G32" s="17"/>
      <c r="I32" s="19"/>
      <c r="J32" s="23"/>
      <c r="K32" s="18"/>
      <c r="L32" s="18"/>
    </row>
    <row r="33" spans="1:12" ht="20.100000000000001" customHeight="1" x14ac:dyDescent="0.45">
      <c r="A33" s="16" t="s">
        <v>61</v>
      </c>
      <c r="B33" s="17"/>
      <c r="C33" s="36"/>
      <c r="D33" s="18"/>
      <c r="E33" s="18"/>
      <c r="F33" s="18"/>
      <c r="G33" s="17"/>
      <c r="I33" s="19"/>
      <c r="J33" s="23"/>
      <c r="K33" s="18"/>
      <c r="L33" s="26"/>
    </row>
    <row r="34" spans="1:12" ht="20.100000000000001" customHeight="1" x14ac:dyDescent="0.45">
      <c r="A34" s="29" t="s">
        <v>62</v>
      </c>
      <c r="B34" s="35" t="s">
        <v>63</v>
      </c>
      <c r="C34" s="36">
        <v>1</v>
      </c>
      <c r="D34" s="23" t="s">
        <v>64</v>
      </c>
      <c r="E34" s="18">
        <v>200000</v>
      </c>
      <c r="F34" s="18">
        <f>E34*C34</f>
        <v>200000</v>
      </c>
      <c r="G34" s="17"/>
      <c r="I34" s="19"/>
      <c r="J34" s="23"/>
      <c r="K34" s="18"/>
      <c r="L34" s="38"/>
    </row>
    <row r="35" spans="1:12" ht="20.100000000000001" customHeight="1" x14ac:dyDescent="0.45">
      <c r="A35" s="29" t="s">
        <v>65</v>
      </c>
      <c r="B35" s="35"/>
      <c r="C35" s="36">
        <v>1</v>
      </c>
      <c r="D35" s="23" t="s">
        <v>64</v>
      </c>
      <c r="E35" s="18">
        <v>150000</v>
      </c>
      <c r="F35" s="18">
        <f>E35*C35</f>
        <v>150000</v>
      </c>
      <c r="G35" s="17"/>
      <c r="I35" s="19"/>
      <c r="J35" s="23"/>
      <c r="K35" s="39"/>
      <c r="L35" s="26"/>
    </row>
    <row r="36" spans="1:12" ht="20.100000000000001" customHeight="1" x14ac:dyDescent="0.45">
      <c r="A36" s="29" t="s">
        <v>67</v>
      </c>
      <c r="B36" s="35" t="s">
        <v>68</v>
      </c>
      <c r="C36" s="36">
        <v>2</v>
      </c>
      <c r="D36" s="23" t="s">
        <v>64</v>
      </c>
      <c r="E36" s="18">
        <v>191124</v>
      </c>
      <c r="F36" s="18">
        <f>SUM(C36*E36)</f>
        <v>382248</v>
      </c>
      <c r="G36" s="17"/>
      <c r="I36" s="19"/>
      <c r="J36" s="23"/>
      <c r="K36" s="18"/>
      <c r="L36" s="18"/>
    </row>
    <row r="37" spans="1:12" ht="20.100000000000001" customHeight="1" x14ac:dyDescent="0.45">
      <c r="A37" s="29" t="s">
        <v>69</v>
      </c>
      <c r="B37" s="35" t="s">
        <v>70</v>
      </c>
      <c r="C37" s="36">
        <v>2</v>
      </c>
      <c r="D37" s="23" t="s">
        <v>64</v>
      </c>
      <c r="E37" s="40"/>
      <c r="F37" s="40"/>
      <c r="G37" s="17"/>
      <c r="I37" s="19"/>
      <c r="J37" s="23"/>
      <c r="K37" s="18"/>
      <c r="L37" s="18"/>
    </row>
    <row r="38" spans="1:12" ht="20.100000000000001" customHeight="1" x14ac:dyDescent="0.45">
      <c r="A38" s="29" t="s">
        <v>71</v>
      </c>
      <c r="B38" s="35"/>
      <c r="C38" s="36">
        <v>1</v>
      </c>
      <c r="D38" s="23" t="s">
        <v>64</v>
      </c>
      <c r="E38" s="18">
        <v>8600</v>
      </c>
      <c r="F38" s="18">
        <f t="shared" ref="F38:F43" si="3">E38*C38</f>
        <v>8600</v>
      </c>
      <c r="G38" s="17"/>
      <c r="I38" s="19"/>
      <c r="J38" s="23"/>
      <c r="K38" s="18"/>
      <c r="L38" s="37"/>
    </row>
    <row r="39" spans="1:12" ht="20.100000000000001" customHeight="1" x14ac:dyDescent="0.45">
      <c r="A39" s="29" t="s">
        <v>72</v>
      </c>
      <c r="B39" s="35"/>
      <c r="C39" s="36">
        <v>0</v>
      </c>
      <c r="D39" s="23" t="s">
        <v>64</v>
      </c>
      <c r="E39" s="18">
        <v>2800</v>
      </c>
      <c r="F39" s="18">
        <f t="shared" si="3"/>
        <v>0</v>
      </c>
      <c r="G39" s="17"/>
      <c r="I39" s="19"/>
      <c r="J39" s="23"/>
      <c r="K39" s="18"/>
      <c r="L39" s="18"/>
    </row>
    <row r="40" spans="1:12" ht="20.100000000000001" customHeight="1" x14ac:dyDescent="0.45">
      <c r="A40" s="29" t="s">
        <v>73</v>
      </c>
      <c r="B40" s="35" t="s">
        <v>74</v>
      </c>
      <c r="C40" s="36">
        <v>1</v>
      </c>
      <c r="D40" s="23" t="s">
        <v>64</v>
      </c>
      <c r="E40" s="18">
        <v>10392</v>
      </c>
      <c r="F40" s="18">
        <f t="shared" si="3"/>
        <v>10392</v>
      </c>
      <c r="G40" s="17"/>
      <c r="I40" s="19"/>
      <c r="J40" s="23"/>
      <c r="K40" s="18"/>
      <c r="L40" s="18"/>
    </row>
    <row r="41" spans="1:12" ht="20.100000000000001" customHeight="1" x14ac:dyDescent="0.45">
      <c r="A41" s="29" t="s">
        <v>75</v>
      </c>
      <c r="B41" s="35" t="s">
        <v>76</v>
      </c>
      <c r="C41" s="36">
        <v>1</v>
      </c>
      <c r="D41" s="23" t="s">
        <v>64</v>
      </c>
      <c r="E41" s="18">
        <v>14664</v>
      </c>
      <c r="F41" s="18">
        <f t="shared" si="3"/>
        <v>14664</v>
      </c>
      <c r="G41" s="17"/>
      <c r="I41" s="19"/>
      <c r="J41" s="23"/>
      <c r="K41" s="18"/>
      <c r="L41" s="18"/>
    </row>
    <row r="42" spans="1:12" ht="20.100000000000001" customHeight="1" x14ac:dyDescent="0.45">
      <c r="A42" s="41" t="s">
        <v>77</v>
      </c>
      <c r="B42" s="35" t="s">
        <v>78</v>
      </c>
      <c r="C42" s="36">
        <v>1</v>
      </c>
      <c r="D42" s="23" t="s">
        <v>64</v>
      </c>
      <c r="E42" s="18">
        <v>13500</v>
      </c>
      <c r="F42" s="18">
        <f t="shared" si="3"/>
        <v>13500</v>
      </c>
      <c r="G42" s="17"/>
      <c r="I42" s="19"/>
      <c r="J42" s="23"/>
      <c r="K42" s="18"/>
      <c r="L42" s="18"/>
    </row>
    <row r="43" spans="1:12" ht="20.100000000000001" customHeight="1" x14ac:dyDescent="0.45">
      <c r="A43" s="41" t="s">
        <v>79</v>
      </c>
      <c r="B43" s="35" t="s">
        <v>80</v>
      </c>
      <c r="C43" s="36">
        <v>1</v>
      </c>
      <c r="D43" s="23" t="s">
        <v>64</v>
      </c>
      <c r="E43" s="18">
        <v>9700</v>
      </c>
      <c r="F43" s="18">
        <f t="shared" si="3"/>
        <v>9700</v>
      </c>
      <c r="G43" s="17"/>
      <c r="I43" s="19"/>
      <c r="J43" s="23"/>
      <c r="K43" s="18"/>
      <c r="L43" s="18"/>
    </row>
    <row r="44" spans="1:12" ht="20.100000000000001" customHeight="1" x14ac:dyDescent="0.45">
      <c r="A44" s="41"/>
      <c r="B44" s="35"/>
      <c r="C44" s="36"/>
      <c r="D44" s="23"/>
      <c r="E44" s="18"/>
      <c r="F44" s="18"/>
      <c r="G44" s="17"/>
      <c r="I44" s="19"/>
      <c r="J44" s="23"/>
      <c r="K44" s="18"/>
      <c r="L44" s="18"/>
    </row>
    <row r="45" spans="1:12" ht="20.100000000000001" customHeight="1" x14ac:dyDescent="0.45">
      <c r="A45" s="42" t="s">
        <v>81</v>
      </c>
      <c r="B45" s="35"/>
      <c r="C45" s="36"/>
      <c r="D45" s="23"/>
      <c r="E45" s="18"/>
      <c r="F45" s="18"/>
      <c r="G45" s="17"/>
      <c r="I45" s="19"/>
      <c r="J45" s="23"/>
      <c r="K45" s="18"/>
      <c r="L45" s="18"/>
    </row>
    <row r="46" spans="1:12" ht="20.100000000000001" customHeight="1" x14ac:dyDescent="0.45">
      <c r="A46" s="29" t="s">
        <v>82</v>
      </c>
      <c r="B46" s="35" t="s">
        <v>83</v>
      </c>
      <c r="C46" s="36">
        <v>10</v>
      </c>
      <c r="D46" s="23" t="s">
        <v>84</v>
      </c>
      <c r="E46" s="18">
        <v>450000</v>
      </c>
      <c r="F46" s="18">
        <f>E46*C46*0.025</f>
        <v>112500</v>
      </c>
      <c r="G46" s="17" t="s">
        <v>85</v>
      </c>
      <c r="I46" s="19"/>
      <c r="J46" s="23"/>
      <c r="K46" s="18"/>
      <c r="L46" s="18"/>
    </row>
    <row r="47" spans="1:12" ht="20.100000000000001" customHeight="1" x14ac:dyDescent="0.45">
      <c r="A47" s="29" t="s">
        <v>86</v>
      </c>
      <c r="B47" s="35" t="s">
        <v>87</v>
      </c>
      <c r="C47" s="36">
        <v>1</v>
      </c>
      <c r="D47" s="23" t="s">
        <v>88</v>
      </c>
      <c r="E47" s="18">
        <v>50000</v>
      </c>
      <c r="F47" s="18">
        <f>E47*C47*0.25</f>
        <v>12500</v>
      </c>
      <c r="G47" s="17" t="s">
        <v>89</v>
      </c>
      <c r="I47" s="19"/>
      <c r="J47" s="23"/>
      <c r="K47" s="18"/>
      <c r="L47" s="18"/>
    </row>
    <row r="48" spans="1:12" ht="20.100000000000001" customHeight="1" x14ac:dyDescent="0.45">
      <c r="A48" s="29" t="s">
        <v>90</v>
      </c>
      <c r="B48" s="35" t="s">
        <v>91</v>
      </c>
      <c r="C48" s="36">
        <v>1</v>
      </c>
      <c r="D48" s="23" t="s">
        <v>31</v>
      </c>
      <c r="E48" s="18">
        <v>25000</v>
      </c>
      <c r="F48" s="18">
        <f>E48*C48</f>
        <v>25000</v>
      </c>
      <c r="G48" s="17"/>
      <c r="I48" s="17"/>
      <c r="J48" s="18"/>
      <c r="K48" s="18"/>
      <c r="L48" s="18"/>
    </row>
    <row r="49" spans="1:7" ht="20.100000000000001" customHeight="1" x14ac:dyDescent="0.45">
      <c r="A49" s="41" t="s">
        <v>50</v>
      </c>
      <c r="B49" s="35"/>
      <c r="C49" s="36">
        <v>1</v>
      </c>
      <c r="D49" s="23" t="s">
        <v>31</v>
      </c>
      <c r="E49" s="18"/>
      <c r="F49" s="18">
        <f>E49*C49</f>
        <v>0</v>
      </c>
      <c r="G49" s="17"/>
    </row>
    <row r="50" spans="1:7" ht="20.100000000000001" customHeight="1" x14ac:dyDescent="0.45">
      <c r="A50" s="29" t="s">
        <v>92</v>
      </c>
      <c r="B50" s="35"/>
      <c r="C50" s="36">
        <v>450</v>
      </c>
      <c r="D50" s="23" t="s">
        <v>105</v>
      </c>
      <c r="E50" s="18">
        <f>SUM(F50/C50)</f>
        <v>2726.4533333333334</v>
      </c>
      <c r="F50" s="37">
        <f>SUM(F26:F49)</f>
        <v>1226904</v>
      </c>
      <c r="G50" s="17"/>
    </row>
    <row r="51" spans="1:7" x14ac:dyDescent="0.45">
      <c r="A51" s="41"/>
      <c r="B51" s="35"/>
      <c r="C51" s="36"/>
      <c r="D51" s="23"/>
      <c r="E51" s="18"/>
      <c r="F51" s="18"/>
      <c r="G51" s="17"/>
    </row>
  </sheetData>
  <mergeCells count="5">
    <mergeCell ref="A1:G1"/>
    <mergeCell ref="I1:J1"/>
    <mergeCell ref="K1:L1"/>
    <mergeCell ref="G21:G22"/>
    <mergeCell ref="A24:G24"/>
  </mergeCells>
  <phoneticPr fontId="3"/>
  <printOptions horizontalCentered="1" verticalCentered="1"/>
  <pageMargins left="0.23622047244094491" right="0.23622047244094491" top="0.74803149606299213" bottom="0.74803149606299213" header="0.31496062992125984" footer="0.31496062992125984"/>
  <pageSetup paperSize="9" scale="88" orientation="landscape" r:id="rId1"/>
  <headerFooter alignWithMargins="0">
    <oddHeader>&amp;R&amp;P / &amp;N ページ</oddHeader>
    <oddFooter>&amp;R株式会社 サンユウテック</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FEC8A-C093-44C6-A6A4-CE647FEF33A9}">
  <sheetPr codeName="Sheet3">
    <pageSetUpPr fitToPage="1"/>
  </sheetPr>
  <dimension ref="A1:K46"/>
  <sheetViews>
    <sheetView tabSelected="1" view="pageBreakPreview" zoomScale="85" zoomScaleNormal="100" zoomScaleSheetLayoutView="85" workbookViewId="0">
      <selection activeCell="B7" sqref="F7:AF7"/>
    </sheetView>
  </sheetViews>
  <sheetFormatPr defaultRowHeight="18" x14ac:dyDescent="0.45"/>
  <cols>
    <col min="1" max="1" width="3" style="49" customWidth="1"/>
    <col min="2" max="2" width="31.3984375" customWidth="1"/>
    <col min="3" max="3" width="12.5" customWidth="1"/>
    <col min="4" max="4" width="12" style="28" customWidth="1"/>
    <col min="5" max="6" width="15.8984375" style="28" customWidth="1"/>
    <col min="7" max="7" width="47.69921875" customWidth="1"/>
    <col min="8" max="8" width="12.5" customWidth="1"/>
    <col min="9" max="9" width="12" style="28" customWidth="1"/>
    <col min="10" max="11" width="15.8984375" style="28" customWidth="1"/>
  </cols>
  <sheetData>
    <row r="1" spans="1:11" ht="42" customHeight="1" thickTop="1" thickBot="1" x14ac:dyDescent="0.5">
      <c r="A1" s="276" t="s">
        <v>277</v>
      </c>
      <c r="B1" s="277"/>
      <c r="C1" s="277"/>
      <c r="D1" s="277"/>
      <c r="E1" s="277"/>
      <c r="F1" s="277"/>
      <c r="G1" s="278"/>
      <c r="H1" s="279" t="s">
        <v>37</v>
      </c>
      <c r="I1" s="260"/>
      <c r="J1" s="259"/>
      <c r="K1" s="260"/>
    </row>
    <row r="2" spans="1:11" ht="23.1" customHeight="1" thickTop="1" x14ac:dyDescent="0.45">
      <c r="A2" s="54"/>
      <c r="B2" s="267" t="s">
        <v>274</v>
      </c>
      <c r="C2" s="267"/>
      <c r="D2" s="267"/>
      <c r="E2" s="267"/>
      <c r="F2" s="267"/>
      <c r="G2" s="268"/>
      <c r="H2" s="44" t="s">
        <v>40</v>
      </c>
      <c r="I2" s="15" t="s">
        <v>41</v>
      </c>
      <c r="J2" s="15" t="s">
        <v>42</v>
      </c>
      <c r="K2" s="15" t="s">
        <v>43</v>
      </c>
    </row>
    <row r="3" spans="1:11" ht="23.1" customHeight="1" x14ac:dyDescent="0.45">
      <c r="A3" s="54">
        <v>2</v>
      </c>
      <c r="B3" s="267" t="s">
        <v>95</v>
      </c>
      <c r="C3" s="267"/>
      <c r="D3" s="267"/>
      <c r="E3" s="267"/>
      <c r="F3" s="267"/>
      <c r="G3" s="268"/>
      <c r="H3" s="45"/>
      <c r="I3" s="18"/>
      <c r="J3" s="18"/>
      <c r="K3" s="18"/>
    </row>
    <row r="4" spans="1:11" ht="23.1" customHeight="1" x14ac:dyDescent="0.45">
      <c r="A4" s="55">
        <v>3</v>
      </c>
      <c r="B4" s="267" t="s">
        <v>250</v>
      </c>
      <c r="C4" s="267"/>
      <c r="D4" s="267"/>
      <c r="E4" s="267"/>
      <c r="F4" s="267"/>
      <c r="G4" s="268"/>
      <c r="H4" s="45"/>
      <c r="I4" s="23"/>
      <c r="J4" s="24"/>
      <c r="K4" s="18">
        <f>SUM(H4*J4)</f>
        <v>0</v>
      </c>
    </row>
    <row r="5" spans="1:11" ht="23.1" customHeight="1" x14ac:dyDescent="0.45">
      <c r="A5" s="54">
        <v>4</v>
      </c>
      <c r="B5" s="267" t="s">
        <v>107</v>
      </c>
      <c r="C5" s="267"/>
      <c r="D5" s="267"/>
      <c r="E5" s="267"/>
      <c r="F5" s="267"/>
      <c r="G5" s="268"/>
      <c r="H5" s="45"/>
      <c r="I5" s="23"/>
      <c r="J5" s="24"/>
      <c r="K5" s="18"/>
    </row>
    <row r="6" spans="1:11" ht="23.1" customHeight="1" x14ac:dyDescent="0.45">
      <c r="A6" s="56">
        <v>5</v>
      </c>
      <c r="B6" s="267" t="s">
        <v>97</v>
      </c>
      <c r="C6" s="267"/>
      <c r="D6" s="267"/>
      <c r="E6" s="267"/>
      <c r="F6" s="267"/>
      <c r="G6" s="268"/>
      <c r="H6" s="45"/>
      <c r="I6" s="23"/>
      <c r="J6" s="24"/>
      <c r="K6" s="18">
        <f>SUM(H6*J6)</f>
        <v>0</v>
      </c>
    </row>
    <row r="7" spans="1:11" ht="23.1" customHeight="1" x14ac:dyDescent="0.45">
      <c r="A7" s="54">
        <v>6</v>
      </c>
      <c r="B7" s="269" t="s">
        <v>98</v>
      </c>
      <c r="C7" s="269"/>
      <c r="D7" s="269"/>
      <c r="E7" s="269"/>
      <c r="F7" s="269"/>
      <c r="G7" s="270"/>
      <c r="H7" s="45"/>
      <c r="I7" s="23"/>
      <c r="J7" s="24"/>
      <c r="K7" s="18"/>
    </row>
    <row r="8" spans="1:11" ht="23.1" customHeight="1" x14ac:dyDescent="0.45">
      <c r="A8" s="54">
        <v>7</v>
      </c>
      <c r="B8" s="271" t="s">
        <v>99</v>
      </c>
      <c r="C8" s="271"/>
      <c r="D8" s="271"/>
      <c r="E8" s="271"/>
      <c r="F8" s="271"/>
      <c r="G8" s="272"/>
      <c r="H8" s="46"/>
      <c r="I8" s="43"/>
      <c r="J8" s="24"/>
      <c r="K8" s="18">
        <f>SUM(H8*J8)</f>
        <v>0</v>
      </c>
    </row>
    <row r="9" spans="1:11" ht="23.1" customHeight="1" x14ac:dyDescent="0.45">
      <c r="A9" s="54">
        <v>8</v>
      </c>
      <c r="B9" s="271" t="s">
        <v>100</v>
      </c>
      <c r="C9" s="271"/>
      <c r="D9" s="271"/>
      <c r="E9" s="271"/>
      <c r="F9" s="271"/>
      <c r="G9" s="272"/>
      <c r="H9" s="45"/>
      <c r="I9" s="23"/>
      <c r="J9" s="24"/>
      <c r="K9" s="26"/>
    </row>
    <row r="10" spans="1:11" ht="23.1" customHeight="1" x14ac:dyDescent="0.45">
      <c r="A10" s="54">
        <v>9</v>
      </c>
      <c r="B10" s="273" t="s">
        <v>234</v>
      </c>
      <c r="C10" s="273"/>
      <c r="D10" s="273"/>
      <c r="E10" s="273"/>
      <c r="F10" s="273"/>
      <c r="G10" s="274"/>
      <c r="H10" s="46"/>
      <c r="I10" s="43"/>
      <c r="J10" s="24"/>
      <c r="K10" s="18">
        <f>SUM(H10*J10)</f>
        <v>0</v>
      </c>
    </row>
    <row r="11" spans="1:11" ht="23.1" customHeight="1" x14ac:dyDescent="0.45">
      <c r="A11" s="54">
        <v>10</v>
      </c>
      <c r="B11" s="273" t="s">
        <v>236</v>
      </c>
      <c r="C11" s="273"/>
      <c r="D11" s="273"/>
      <c r="E11" s="273"/>
      <c r="F11" s="273"/>
      <c r="G11" s="274"/>
      <c r="H11" s="45"/>
      <c r="I11" s="23"/>
      <c r="J11" s="24"/>
      <c r="K11" s="26"/>
    </row>
    <row r="12" spans="1:11" ht="23.1" customHeight="1" x14ac:dyDescent="0.45">
      <c r="A12" s="54">
        <v>11</v>
      </c>
      <c r="B12" s="275" t="s">
        <v>235</v>
      </c>
      <c r="C12" s="275"/>
      <c r="D12" s="275"/>
      <c r="E12" s="275"/>
      <c r="F12" s="275"/>
      <c r="G12" s="275"/>
      <c r="H12" s="45"/>
      <c r="I12" s="23"/>
      <c r="J12" s="24"/>
      <c r="K12" s="18">
        <f>SUM(H12*J12)</f>
        <v>0</v>
      </c>
    </row>
    <row r="13" spans="1:11" ht="23.1" customHeight="1" x14ac:dyDescent="0.45">
      <c r="A13" s="54"/>
      <c r="B13" s="275"/>
      <c r="C13" s="275"/>
      <c r="D13" s="275"/>
      <c r="E13" s="275"/>
      <c r="F13" s="275"/>
      <c r="G13" s="275"/>
      <c r="H13" s="136"/>
      <c r="I13" s="23"/>
      <c r="J13" s="24"/>
      <c r="K13" s="18"/>
    </row>
    <row r="14" spans="1:11" ht="23.1" customHeight="1" x14ac:dyDescent="0.45">
      <c r="A14" s="54"/>
      <c r="B14" s="273"/>
      <c r="C14" s="273"/>
      <c r="D14" s="273"/>
      <c r="E14" s="273"/>
      <c r="F14" s="273"/>
      <c r="G14" s="274"/>
      <c r="H14" s="45"/>
      <c r="I14" s="23"/>
      <c r="J14" s="24"/>
      <c r="K14" s="18"/>
    </row>
    <row r="15" spans="1:11" ht="23.1" customHeight="1" x14ac:dyDescent="0.45">
      <c r="A15" s="54"/>
      <c r="B15" s="273"/>
      <c r="C15" s="273"/>
      <c r="D15" s="273"/>
      <c r="E15" s="273"/>
      <c r="F15" s="273"/>
      <c r="G15" s="274"/>
      <c r="H15" s="45"/>
      <c r="I15" s="23"/>
      <c r="J15" s="24"/>
      <c r="K15" s="18"/>
    </row>
    <row r="16" spans="1:11" ht="23.1" customHeight="1" x14ac:dyDescent="0.45">
      <c r="A16" s="57"/>
      <c r="B16" s="265"/>
      <c r="C16" s="265"/>
      <c r="D16" s="265"/>
      <c r="E16" s="265"/>
      <c r="F16" s="265"/>
      <c r="G16" s="266"/>
      <c r="H16" s="45"/>
      <c r="I16" s="23"/>
      <c r="J16" s="24"/>
      <c r="K16" s="18"/>
    </row>
    <row r="17" spans="1:11" ht="23.1" customHeight="1" x14ac:dyDescent="0.45">
      <c r="A17" s="57"/>
      <c r="B17" s="265"/>
      <c r="C17" s="265"/>
      <c r="D17" s="265"/>
      <c r="E17" s="265"/>
      <c r="F17" s="265"/>
      <c r="G17" s="266"/>
      <c r="H17" s="47"/>
      <c r="I17" s="33"/>
      <c r="J17" s="34"/>
      <c r="K17" s="34"/>
    </row>
    <row r="18" spans="1:11" ht="23.1" customHeight="1" x14ac:dyDescent="0.45">
      <c r="A18" s="57"/>
      <c r="B18" s="265"/>
      <c r="C18" s="265"/>
      <c r="D18" s="265"/>
      <c r="E18" s="265"/>
      <c r="F18" s="265"/>
      <c r="G18" s="266"/>
      <c r="H18" s="45"/>
      <c r="I18" s="23"/>
      <c r="J18" s="18"/>
      <c r="K18" s="18"/>
    </row>
    <row r="19" spans="1:11" ht="23.1" customHeight="1" x14ac:dyDescent="0.45">
      <c r="A19" s="57"/>
      <c r="B19" s="265"/>
      <c r="C19" s="265"/>
      <c r="D19" s="265"/>
      <c r="E19" s="265"/>
      <c r="F19" s="265"/>
      <c r="G19" s="266"/>
      <c r="H19" s="45"/>
      <c r="I19" s="23"/>
      <c r="J19" s="18"/>
      <c r="K19" s="18"/>
    </row>
    <row r="20" spans="1:11" ht="23.1" customHeight="1" x14ac:dyDescent="0.45">
      <c r="A20" s="57"/>
      <c r="B20" s="265"/>
      <c r="C20" s="265"/>
      <c r="D20" s="265"/>
      <c r="E20" s="265"/>
      <c r="F20" s="265"/>
      <c r="G20" s="266"/>
      <c r="H20" s="45"/>
      <c r="I20" s="23"/>
      <c r="J20" s="18"/>
      <c r="K20" s="18"/>
    </row>
    <row r="21" spans="1:11" ht="23.1" customHeight="1" x14ac:dyDescent="0.45">
      <c r="A21" s="57"/>
      <c r="B21" s="265"/>
      <c r="C21" s="265"/>
      <c r="D21" s="265"/>
      <c r="E21" s="265"/>
      <c r="F21" s="265"/>
      <c r="G21" s="266"/>
      <c r="H21" s="48"/>
      <c r="I21" s="18"/>
      <c r="J21" s="18"/>
      <c r="K21" s="18"/>
    </row>
    <row r="22" spans="1:11" ht="23.1" customHeight="1" x14ac:dyDescent="0.45">
      <c r="A22" s="57"/>
      <c r="B22" s="265"/>
      <c r="C22" s="265"/>
      <c r="D22" s="265"/>
      <c r="E22" s="265"/>
      <c r="F22" s="265"/>
      <c r="G22" s="266"/>
      <c r="H22" s="48"/>
      <c r="I22" s="18"/>
      <c r="J22" s="18"/>
      <c r="K22" s="18"/>
    </row>
    <row r="23" spans="1:11" ht="23.4" customHeight="1" x14ac:dyDescent="0.45">
      <c r="A23" s="58"/>
      <c r="B23" s="263"/>
      <c r="C23" s="263"/>
      <c r="D23" s="263"/>
      <c r="E23" s="263"/>
      <c r="F23" s="263"/>
      <c r="G23" s="264"/>
      <c r="H23" s="48"/>
      <c r="I23" s="18"/>
      <c r="J23" s="18"/>
      <c r="K23" s="37">
        <f>SUM(K3:K20)</f>
        <v>0</v>
      </c>
    </row>
    <row r="24" spans="1:11" x14ac:dyDescent="0.45">
      <c r="I24"/>
      <c r="J24"/>
      <c r="K24"/>
    </row>
    <row r="25" spans="1:11" ht="23.1" customHeight="1" x14ac:dyDescent="0.45">
      <c r="H25" s="44" t="s">
        <v>25</v>
      </c>
      <c r="I25" s="15" t="s">
        <v>26</v>
      </c>
      <c r="J25" s="15" t="s">
        <v>42</v>
      </c>
      <c r="K25" s="15" t="s">
        <v>43</v>
      </c>
    </row>
    <row r="26" spans="1:11" ht="23.4" customHeight="1" x14ac:dyDescent="0.45">
      <c r="H26" s="48"/>
      <c r="I26" s="18"/>
      <c r="J26" s="18"/>
      <c r="K26" s="18"/>
    </row>
    <row r="27" spans="1:11" ht="23.4" customHeight="1" x14ac:dyDescent="0.45">
      <c r="H27" s="45"/>
      <c r="I27" s="23"/>
      <c r="J27" s="18"/>
      <c r="K27" s="18"/>
    </row>
    <row r="28" spans="1:11" ht="23.4" customHeight="1" x14ac:dyDescent="0.45">
      <c r="H28" s="45"/>
      <c r="I28" s="23"/>
      <c r="J28" s="18"/>
      <c r="K28" s="18"/>
    </row>
    <row r="29" spans="1:11" ht="23.4" customHeight="1" x14ac:dyDescent="0.45">
      <c r="H29" s="45"/>
      <c r="I29" s="23"/>
      <c r="J29" s="18"/>
      <c r="K29" s="18"/>
    </row>
    <row r="30" spans="1:11" ht="23.4" customHeight="1" x14ac:dyDescent="0.45">
      <c r="H30" s="45"/>
      <c r="I30" s="23"/>
      <c r="J30" s="18"/>
      <c r="K30" s="50"/>
    </row>
    <row r="31" spans="1:11" ht="23.4" customHeight="1" x14ac:dyDescent="0.45">
      <c r="H31" s="45"/>
      <c r="I31" s="23"/>
      <c r="J31" s="18"/>
      <c r="K31" s="18"/>
    </row>
    <row r="32" spans="1:11" ht="23.4" customHeight="1" x14ac:dyDescent="0.45">
      <c r="H32" s="45"/>
      <c r="I32" s="23"/>
      <c r="J32" s="18"/>
      <c r="K32" s="18"/>
    </row>
    <row r="33" spans="8:11" ht="23.4" customHeight="1" x14ac:dyDescent="0.45">
      <c r="H33" s="45"/>
      <c r="I33" s="23"/>
      <c r="J33" s="18"/>
      <c r="K33" s="18"/>
    </row>
    <row r="34" spans="8:11" ht="23.4" customHeight="1" x14ac:dyDescent="0.45">
      <c r="H34" s="45"/>
      <c r="I34" s="23"/>
      <c r="J34" s="18"/>
      <c r="K34" s="26"/>
    </row>
    <row r="35" spans="8:11" ht="23.4" customHeight="1" x14ac:dyDescent="0.45">
      <c r="H35" s="45"/>
      <c r="I35" s="23"/>
      <c r="J35" s="18"/>
      <c r="K35" s="38"/>
    </row>
    <row r="36" spans="8:11" ht="23.4" customHeight="1" x14ac:dyDescent="0.45">
      <c r="H36" s="45"/>
      <c r="I36" s="23"/>
      <c r="J36" s="39"/>
      <c r="K36" s="26"/>
    </row>
    <row r="37" spans="8:11" ht="23.4" customHeight="1" x14ac:dyDescent="0.45">
      <c r="H37" s="45"/>
      <c r="I37" s="23"/>
      <c r="J37" s="18"/>
      <c r="K37" s="18"/>
    </row>
    <row r="38" spans="8:11" ht="23.4" customHeight="1" x14ac:dyDescent="0.45">
      <c r="H38" s="45"/>
      <c r="I38" s="23"/>
      <c r="J38" s="18"/>
      <c r="K38" s="18"/>
    </row>
    <row r="39" spans="8:11" ht="23.4" customHeight="1" x14ac:dyDescent="0.45">
      <c r="H39" s="45"/>
      <c r="I39" s="23"/>
      <c r="J39" s="18"/>
      <c r="K39" s="37"/>
    </row>
    <row r="40" spans="8:11" ht="23.4" customHeight="1" x14ac:dyDescent="0.45">
      <c r="H40" s="45"/>
      <c r="I40" s="23"/>
      <c r="J40" s="18"/>
      <c r="K40" s="18"/>
    </row>
    <row r="41" spans="8:11" ht="23.4" customHeight="1" x14ac:dyDescent="0.45">
      <c r="H41" s="45"/>
      <c r="I41" s="23"/>
      <c r="J41" s="18"/>
      <c r="K41" s="18"/>
    </row>
    <row r="42" spans="8:11" ht="23.4" customHeight="1" x14ac:dyDescent="0.45">
      <c r="H42" s="45"/>
      <c r="I42" s="23"/>
      <c r="J42" s="18"/>
      <c r="K42" s="18"/>
    </row>
    <row r="43" spans="8:11" ht="23.4" customHeight="1" x14ac:dyDescent="0.45">
      <c r="H43" s="45"/>
      <c r="I43" s="23"/>
      <c r="J43" s="18"/>
      <c r="K43" s="18"/>
    </row>
    <row r="44" spans="8:11" ht="23.4" customHeight="1" x14ac:dyDescent="0.45">
      <c r="H44" s="45"/>
      <c r="I44" s="23"/>
      <c r="J44" s="18"/>
      <c r="K44" s="18"/>
    </row>
    <row r="45" spans="8:11" ht="23.4" customHeight="1" x14ac:dyDescent="0.45">
      <c r="H45" s="48"/>
      <c r="I45" s="18"/>
      <c r="J45" s="18"/>
      <c r="K45" s="18"/>
    </row>
    <row r="46" spans="8:11" ht="23.4" customHeight="1" x14ac:dyDescent="0.45">
      <c r="H46" s="48"/>
      <c r="I46" s="18"/>
      <c r="J46" s="18"/>
      <c r="K46" s="37">
        <f>K23+K39</f>
        <v>0</v>
      </c>
    </row>
  </sheetData>
  <mergeCells count="25">
    <mergeCell ref="B4:G4"/>
    <mergeCell ref="A1:G1"/>
    <mergeCell ref="H1:I1"/>
    <mergeCell ref="J1:K1"/>
    <mergeCell ref="B2:G2"/>
    <mergeCell ref="B3:G3"/>
    <mergeCell ref="B16:G16"/>
    <mergeCell ref="B5:G5"/>
    <mergeCell ref="B6:G6"/>
    <mergeCell ref="B7:G7"/>
    <mergeCell ref="B8:G8"/>
    <mergeCell ref="B9:G9"/>
    <mergeCell ref="B10:G10"/>
    <mergeCell ref="B11:G11"/>
    <mergeCell ref="B12:G12"/>
    <mergeCell ref="B14:G14"/>
    <mergeCell ref="B15:G15"/>
    <mergeCell ref="B13:G13"/>
    <mergeCell ref="B23:G23"/>
    <mergeCell ref="B17:G17"/>
    <mergeCell ref="B18:G18"/>
    <mergeCell ref="B19:G19"/>
    <mergeCell ref="B20:G20"/>
    <mergeCell ref="B21:G21"/>
    <mergeCell ref="B22:G22"/>
  </mergeCells>
  <phoneticPr fontId="3"/>
  <printOptions horizontalCentered="1" verticalCentered="1"/>
  <pageMargins left="0.23622047244094491" right="0.23622047244094491" top="0.74803149606299213" bottom="0.74803149606299213" header="0.31496062992125984" footer="0.31496062992125984"/>
  <pageSetup paperSize="9" scale="86" orientation="landscape" r:id="rId1"/>
  <headerFooter alignWithMargins="0">
    <oddHeader>&amp;R&amp;P / &amp;N ページ</oddHeader>
    <oddFooter>&amp;R株式会社 サンユウテック</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BDC01-0667-4291-926F-DC335F4BFC17}">
  <sheetPr codeName="Sheet5">
    <pageSetUpPr fitToPage="1"/>
  </sheetPr>
  <dimension ref="A1:AF51"/>
  <sheetViews>
    <sheetView tabSelected="1" view="pageBreakPreview" topLeftCell="A12" zoomScale="90" zoomScaleNormal="100" zoomScaleSheetLayoutView="90" workbookViewId="0">
      <selection activeCell="B7" sqref="F7:AF7"/>
    </sheetView>
  </sheetViews>
  <sheetFormatPr defaultRowHeight="18" x14ac:dyDescent="0.45"/>
  <cols>
    <col min="1" max="1" width="29.09765625" customWidth="1"/>
    <col min="2" max="2" width="31.3984375" customWidth="1"/>
    <col min="3" max="3" width="12.5" customWidth="1"/>
    <col min="4" max="4" width="12" style="28" customWidth="1"/>
    <col min="5" max="6" width="15.8984375" style="28" customWidth="1"/>
    <col min="7" max="7" width="20.3984375" customWidth="1"/>
    <col min="8" max="8" width="4.69921875" customWidth="1"/>
    <col min="9" max="9" width="12.5" customWidth="1"/>
    <col min="10" max="10" width="12" style="28" customWidth="1"/>
    <col min="11" max="12" width="15.8984375" style="28" customWidth="1"/>
    <col min="13" max="13" width="11.8984375" bestFit="1" customWidth="1"/>
    <col min="14" max="14" width="10.5" style="70" bestFit="1" customWidth="1"/>
    <col min="15" max="18" width="8.796875" style="70"/>
    <col min="19" max="19" width="10.5" style="70" bestFit="1" customWidth="1"/>
    <col min="20" max="20" width="8.796875" style="70"/>
    <col min="21" max="21" width="9.5" style="70" bestFit="1" customWidth="1"/>
    <col min="22" max="31" width="8.796875" style="70"/>
  </cols>
  <sheetData>
    <row r="1" spans="1:32" ht="23.4" customHeight="1" thickTop="1" thickBot="1" x14ac:dyDescent="0.5">
      <c r="A1" s="258" t="s">
        <v>239</v>
      </c>
      <c r="B1" s="258"/>
      <c r="C1" s="258"/>
      <c r="D1" s="258"/>
      <c r="E1" s="258"/>
      <c r="F1" s="258"/>
      <c r="G1" s="258"/>
      <c r="I1" s="259" t="s">
        <v>37</v>
      </c>
      <c r="J1" s="260"/>
      <c r="K1" s="259"/>
      <c r="L1" s="260"/>
    </row>
    <row r="2" spans="1:32" ht="23.4" customHeight="1" thickTop="1" x14ac:dyDescent="0.45">
      <c r="A2" s="129"/>
      <c r="B2" s="130" t="s">
        <v>39</v>
      </c>
      <c r="C2" s="130" t="s">
        <v>40</v>
      </c>
      <c r="D2" s="131" t="s">
        <v>41</v>
      </c>
      <c r="E2" s="131" t="s">
        <v>42</v>
      </c>
      <c r="F2" s="131" t="s">
        <v>43</v>
      </c>
      <c r="G2" s="132" t="s">
        <v>44</v>
      </c>
      <c r="I2" s="14" t="s">
        <v>40</v>
      </c>
      <c r="J2" s="15" t="s">
        <v>41</v>
      </c>
      <c r="K2" s="15" t="s">
        <v>42</v>
      </c>
      <c r="L2" s="15" t="s">
        <v>43</v>
      </c>
    </row>
    <row r="3" spans="1:32" ht="23.4" customHeight="1" x14ac:dyDescent="0.45">
      <c r="A3" s="75" t="s">
        <v>231</v>
      </c>
      <c r="B3" s="17"/>
      <c r="C3" s="17"/>
      <c r="D3" s="18"/>
      <c r="E3" s="18"/>
      <c r="F3" s="18"/>
      <c r="G3" s="76"/>
      <c r="I3" s="19"/>
      <c r="J3" s="18"/>
      <c r="K3" s="18"/>
      <c r="L3" s="18"/>
      <c r="N3" s="77"/>
      <c r="O3" s="77"/>
      <c r="P3" s="77"/>
      <c r="Q3" s="77"/>
      <c r="R3" s="77"/>
      <c r="S3" s="78"/>
      <c r="T3" s="78"/>
      <c r="U3" s="77"/>
      <c r="V3" s="77"/>
      <c r="W3" s="77"/>
      <c r="X3" s="77"/>
      <c r="Y3" s="77"/>
      <c r="Z3" s="77"/>
      <c r="AA3" s="77"/>
      <c r="AB3" s="77"/>
      <c r="AC3" s="77"/>
      <c r="AD3" s="77"/>
      <c r="AE3" s="77"/>
      <c r="AF3" s="28"/>
    </row>
    <row r="4" spans="1:32" ht="23.4" customHeight="1" x14ac:dyDescent="0.45">
      <c r="A4" s="79"/>
      <c r="B4" s="21"/>
      <c r="C4" s="22"/>
      <c r="D4" s="23"/>
      <c r="E4" s="24"/>
      <c r="F4" s="18"/>
      <c r="G4" s="76"/>
      <c r="I4" s="19"/>
      <c r="J4" s="23"/>
      <c r="K4" s="24">
        <v>20</v>
      </c>
      <c r="L4" s="18">
        <f t="shared" ref="L4:L9" si="0">SUM(I4*K4)</f>
        <v>0</v>
      </c>
      <c r="M4" s="70" t="s">
        <v>108</v>
      </c>
      <c r="N4" s="70" t="s">
        <v>109</v>
      </c>
      <c r="O4" s="70" t="s">
        <v>110</v>
      </c>
      <c r="P4" s="70" t="s">
        <v>111</v>
      </c>
      <c r="Q4" s="70" t="s">
        <v>112</v>
      </c>
      <c r="R4" s="70" t="s">
        <v>113</v>
      </c>
    </row>
    <row r="5" spans="1:32" ht="23.4" customHeight="1" x14ac:dyDescent="0.45">
      <c r="A5" s="65" t="s">
        <v>256</v>
      </c>
      <c r="B5" s="21" t="s">
        <v>266</v>
      </c>
      <c r="C5" s="22">
        <v>31896</v>
      </c>
      <c r="D5" s="23" t="s">
        <v>254</v>
      </c>
      <c r="E5" s="24">
        <v>900</v>
      </c>
      <c r="F5" s="24">
        <f>SUM(C5*E5)</f>
        <v>28706400</v>
      </c>
      <c r="G5" s="100" t="s">
        <v>269</v>
      </c>
      <c r="I5" s="25">
        <f t="shared" ref="I5:I10" si="1">C5</f>
        <v>31896</v>
      </c>
      <c r="J5" s="23"/>
      <c r="K5" s="24">
        <f t="shared" ref="K5:K10" si="2">SUM(E5*0.8)</f>
        <v>720</v>
      </c>
      <c r="L5" s="18">
        <f t="shared" si="0"/>
        <v>22965120</v>
      </c>
      <c r="M5" s="81">
        <f>SUM(N5:T5)</f>
        <v>1075000</v>
      </c>
      <c r="N5" s="77">
        <v>200000</v>
      </c>
      <c r="O5" s="77">
        <v>200000</v>
      </c>
      <c r="P5" s="77">
        <v>250000</v>
      </c>
      <c r="Q5" s="77">
        <v>125000</v>
      </c>
      <c r="R5" s="77">
        <v>300000</v>
      </c>
      <c r="S5" s="77"/>
      <c r="T5" s="77"/>
      <c r="U5" s="77"/>
      <c r="V5" s="77"/>
      <c r="W5" s="78"/>
      <c r="X5" s="77"/>
      <c r="Y5" s="77"/>
      <c r="Z5" s="78"/>
      <c r="AA5" s="77"/>
    </row>
    <row r="6" spans="1:32" ht="23.4" customHeight="1" x14ac:dyDescent="0.45">
      <c r="A6" s="65" t="s">
        <v>257</v>
      </c>
      <c r="B6" s="21" t="s">
        <v>267</v>
      </c>
      <c r="C6" s="22">
        <v>4860</v>
      </c>
      <c r="D6" s="23" t="s">
        <v>254</v>
      </c>
      <c r="E6" s="24">
        <v>500</v>
      </c>
      <c r="F6" s="24">
        <f t="shared" ref="F6:F7" si="3">SUM(C6*E6)</f>
        <v>2430000</v>
      </c>
      <c r="G6" s="100" t="s">
        <v>270</v>
      </c>
      <c r="I6" s="25">
        <f t="shared" si="1"/>
        <v>4860</v>
      </c>
      <c r="J6" s="23"/>
      <c r="K6" s="24">
        <f t="shared" si="2"/>
        <v>400</v>
      </c>
      <c r="L6" s="18">
        <f t="shared" si="0"/>
        <v>1944000</v>
      </c>
      <c r="N6" s="77"/>
      <c r="O6" s="77"/>
      <c r="P6" s="77"/>
      <c r="Q6" s="77"/>
      <c r="R6" s="77"/>
      <c r="S6" s="77"/>
      <c r="T6" s="77"/>
      <c r="U6" s="77"/>
      <c r="V6" s="77"/>
      <c r="W6" s="77"/>
      <c r="X6" s="77"/>
      <c r="Y6" s="77"/>
      <c r="Z6" s="77"/>
      <c r="AA6" s="77"/>
    </row>
    <row r="7" spans="1:32" ht="23.4" customHeight="1" x14ac:dyDescent="0.45">
      <c r="A7" s="65" t="s">
        <v>265</v>
      </c>
      <c r="B7" s="21" t="s">
        <v>268</v>
      </c>
      <c r="C7" s="22">
        <v>655.5</v>
      </c>
      <c r="D7" s="23" t="s">
        <v>254</v>
      </c>
      <c r="E7" s="24">
        <v>2500</v>
      </c>
      <c r="F7" s="24">
        <f t="shared" si="3"/>
        <v>1638750</v>
      </c>
      <c r="G7" s="100" t="s">
        <v>271</v>
      </c>
      <c r="I7" s="25">
        <f t="shared" si="1"/>
        <v>655.5</v>
      </c>
      <c r="J7" s="23"/>
      <c r="K7" s="24">
        <f t="shared" si="2"/>
        <v>2000</v>
      </c>
      <c r="L7" s="18">
        <f t="shared" si="0"/>
        <v>1311000</v>
      </c>
      <c r="N7" s="77"/>
      <c r="O7" s="77"/>
      <c r="P7" s="77"/>
      <c r="Q7" s="77"/>
      <c r="R7" s="77"/>
      <c r="S7" s="77"/>
      <c r="T7" s="77"/>
      <c r="U7" s="77"/>
      <c r="V7" s="77"/>
      <c r="W7" s="77"/>
      <c r="X7" s="77"/>
      <c r="Y7" s="77"/>
      <c r="Z7" s="77"/>
      <c r="AA7" s="77"/>
    </row>
    <row r="8" spans="1:32" ht="23.4" customHeight="1" x14ac:dyDescent="0.45">
      <c r="A8" s="65"/>
      <c r="B8" s="21"/>
      <c r="C8" s="25"/>
      <c r="D8" s="23"/>
      <c r="E8" s="24"/>
      <c r="F8" s="24"/>
      <c r="G8" s="100"/>
      <c r="I8" s="25">
        <f t="shared" si="1"/>
        <v>0</v>
      </c>
      <c r="J8" s="43"/>
      <c r="K8" s="24">
        <f t="shared" si="2"/>
        <v>0</v>
      </c>
      <c r="L8" s="18">
        <f t="shared" si="0"/>
        <v>0</v>
      </c>
      <c r="N8" s="77"/>
      <c r="O8" s="77"/>
      <c r="P8" s="77"/>
      <c r="Q8" s="77"/>
      <c r="R8" s="77"/>
      <c r="S8" s="77"/>
      <c r="T8" s="77"/>
      <c r="U8" s="77"/>
      <c r="V8" s="77"/>
      <c r="W8" s="77"/>
      <c r="X8" s="77"/>
      <c r="Y8" s="77"/>
      <c r="Z8" s="77"/>
      <c r="AA8" s="77"/>
    </row>
    <row r="9" spans="1:32" ht="23.4" customHeight="1" x14ac:dyDescent="0.45">
      <c r="A9" s="283" t="s">
        <v>125</v>
      </c>
      <c r="B9" s="284"/>
      <c r="C9" s="284"/>
      <c r="D9" s="284"/>
      <c r="E9" s="284"/>
      <c r="F9" s="284"/>
      <c r="G9" s="285"/>
      <c r="I9" s="25">
        <f t="shared" si="1"/>
        <v>0</v>
      </c>
      <c r="J9" s="23"/>
      <c r="K9" s="24">
        <f t="shared" si="2"/>
        <v>0</v>
      </c>
      <c r="L9" s="18">
        <f t="shared" si="0"/>
        <v>0</v>
      </c>
      <c r="N9" s="77"/>
      <c r="O9" s="77"/>
      <c r="P9" s="77"/>
      <c r="Q9" s="77"/>
      <c r="R9" s="77"/>
      <c r="S9" s="77"/>
      <c r="T9" s="77"/>
      <c r="U9" s="77"/>
      <c r="V9" s="77"/>
      <c r="W9" s="77"/>
      <c r="X9" s="77"/>
      <c r="Y9" s="77"/>
      <c r="Z9" s="77"/>
      <c r="AA9" s="77"/>
    </row>
    <row r="10" spans="1:32" ht="23.4" customHeight="1" x14ac:dyDescent="0.45">
      <c r="A10" s="68"/>
      <c r="B10" s="21"/>
      <c r="C10" s="25"/>
      <c r="D10" s="23"/>
      <c r="E10" s="24"/>
      <c r="F10" s="24"/>
      <c r="G10" s="100"/>
      <c r="I10" s="25">
        <f t="shared" si="1"/>
        <v>0</v>
      </c>
      <c r="J10" s="43"/>
      <c r="K10" s="24">
        <f t="shared" si="2"/>
        <v>0</v>
      </c>
      <c r="L10" s="18">
        <f>SUM(I10*K10)</f>
        <v>0</v>
      </c>
      <c r="N10" s="77"/>
      <c r="O10" s="77"/>
      <c r="P10" s="77"/>
      <c r="Q10" s="77"/>
      <c r="R10" s="77"/>
      <c r="S10" s="77"/>
      <c r="T10" s="77"/>
      <c r="U10" s="77"/>
      <c r="V10" s="77"/>
      <c r="W10" s="77"/>
      <c r="X10" s="77"/>
      <c r="Y10" s="77"/>
      <c r="Z10" s="77"/>
      <c r="AA10" s="77"/>
    </row>
    <row r="11" spans="1:32" ht="23.4" customHeight="1" x14ac:dyDescent="0.45">
      <c r="A11" s="66"/>
      <c r="B11" s="21"/>
      <c r="C11" s="22"/>
      <c r="D11" s="23"/>
      <c r="E11" s="24"/>
      <c r="F11" s="110"/>
      <c r="G11" s="100"/>
      <c r="I11" s="19"/>
      <c r="J11" s="23"/>
      <c r="K11" s="24"/>
      <c r="L11" s="18"/>
      <c r="N11" s="77"/>
      <c r="O11" s="77"/>
      <c r="P11" s="77"/>
      <c r="Q11" s="77"/>
      <c r="R11" s="77"/>
      <c r="S11" s="77"/>
      <c r="T11" s="77"/>
      <c r="U11" s="77"/>
      <c r="V11" s="77"/>
      <c r="W11" s="77"/>
      <c r="X11" s="77"/>
      <c r="Y11" s="77"/>
      <c r="Z11" s="77"/>
      <c r="AA11" s="77"/>
    </row>
    <row r="12" spans="1:32" ht="23.4" customHeight="1" x14ac:dyDescent="0.45">
      <c r="A12" s="66"/>
      <c r="B12" s="21"/>
      <c r="C12" s="22"/>
      <c r="D12" s="23"/>
      <c r="E12" s="24"/>
      <c r="F12" s="110"/>
      <c r="G12" s="100"/>
      <c r="I12" s="19"/>
      <c r="J12" s="23"/>
      <c r="K12" s="24"/>
      <c r="L12" s="18"/>
      <c r="N12" s="77"/>
      <c r="O12" s="77"/>
      <c r="P12" s="77"/>
      <c r="Q12" s="77"/>
      <c r="R12" s="77"/>
      <c r="S12" s="77"/>
      <c r="T12" s="77"/>
      <c r="U12" s="77"/>
      <c r="V12" s="77"/>
      <c r="W12" s="77"/>
      <c r="X12" s="77"/>
      <c r="Y12" s="77"/>
      <c r="Z12" s="77"/>
      <c r="AA12" s="77"/>
    </row>
    <row r="13" spans="1:32" ht="23.4" customHeight="1" x14ac:dyDescent="0.45">
      <c r="A13" s="68"/>
      <c r="B13" s="21"/>
      <c r="C13" s="25"/>
      <c r="D13" s="23"/>
      <c r="E13" s="24"/>
      <c r="F13" s="24"/>
      <c r="G13" s="100"/>
      <c r="I13" s="19"/>
      <c r="J13" s="23"/>
      <c r="K13" s="24"/>
      <c r="L13" s="18"/>
      <c r="N13" s="77"/>
      <c r="O13" s="77"/>
      <c r="P13" s="77"/>
      <c r="Q13" s="77"/>
      <c r="R13" s="77"/>
      <c r="S13" s="77"/>
      <c r="T13" s="77"/>
      <c r="U13" s="77"/>
      <c r="V13" s="77"/>
      <c r="W13" s="77"/>
      <c r="X13" s="77"/>
      <c r="Y13" s="77"/>
      <c r="Z13" s="77"/>
      <c r="AA13" s="77"/>
    </row>
    <row r="14" spans="1:32" ht="23.4" customHeight="1" x14ac:dyDescent="0.45">
      <c r="A14" s="79"/>
      <c r="B14" s="21"/>
      <c r="C14" s="22"/>
      <c r="D14" s="23"/>
      <c r="E14" s="24"/>
      <c r="F14" s="18"/>
      <c r="G14" s="76"/>
      <c r="I14" s="19"/>
      <c r="J14" s="23"/>
      <c r="K14" s="24"/>
      <c r="L14" s="18"/>
      <c r="N14" s="77"/>
      <c r="O14" s="77"/>
      <c r="P14" s="77"/>
      <c r="Q14" s="77"/>
      <c r="R14" s="77"/>
      <c r="S14" s="77"/>
      <c r="T14" s="77"/>
      <c r="U14" s="77"/>
      <c r="V14" s="77"/>
      <c r="W14" s="77"/>
      <c r="X14" s="77"/>
      <c r="Y14" s="77"/>
      <c r="Z14" s="77"/>
      <c r="AA14" s="77"/>
    </row>
    <row r="15" spans="1:32" ht="23.4" customHeight="1" x14ac:dyDescent="0.45">
      <c r="A15" s="79"/>
      <c r="B15" s="21"/>
      <c r="C15" s="22"/>
      <c r="D15" s="23"/>
      <c r="E15" s="24"/>
      <c r="F15" s="24"/>
      <c r="G15" s="76"/>
      <c r="I15" s="19"/>
      <c r="J15" s="23"/>
      <c r="K15" s="24"/>
      <c r="L15" s="18"/>
      <c r="N15" s="77"/>
      <c r="O15" s="77"/>
      <c r="P15" s="77"/>
      <c r="Q15" s="77"/>
      <c r="R15" s="77"/>
      <c r="S15" s="77"/>
      <c r="T15" s="77"/>
      <c r="U15" s="77"/>
      <c r="V15" s="77"/>
      <c r="W15" s="77"/>
      <c r="X15" s="77"/>
      <c r="Y15" s="77"/>
      <c r="Z15" s="77"/>
      <c r="AA15" s="77"/>
    </row>
    <row r="16" spans="1:32" ht="23.4" customHeight="1" x14ac:dyDescent="0.45">
      <c r="A16" s="79"/>
      <c r="B16" s="21"/>
      <c r="C16" s="22"/>
      <c r="D16" s="23"/>
      <c r="E16" s="24"/>
      <c r="F16" s="18"/>
      <c r="G16" s="76"/>
      <c r="I16" s="19"/>
      <c r="J16" s="23"/>
      <c r="K16" s="24"/>
      <c r="L16" s="18"/>
      <c r="N16" s="77"/>
      <c r="O16" s="77"/>
      <c r="P16" s="77"/>
      <c r="Q16" s="77"/>
      <c r="R16" s="77"/>
      <c r="S16" s="77"/>
      <c r="T16" s="77"/>
      <c r="U16" s="77"/>
      <c r="V16" s="77"/>
      <c r="W16" s="77"/>
      <c r="X16" s="77"/>
      <c r="Y16" s="77"/>
      <c r="Z16" s="77"/>
      <c r="AA16" s="77"/>
    </row>
    <row r="17" spans="1:27" ht="23.4" customHeight="1" x14ac:dyDescent="0.45">
      <c r="A17" s="82" t="s">
        <v>45</v>
      </c>
      <c r="B17" s="21"/>
      <c r="C17" s="22">
        <v>1</v>
      </c>
      <c r="D17" s="23" t="s">
        <v>31</v>
      </c>
      <c r="E17" s="24">
        <f>SUM(F5:F16)</f>
        <v>32775150</v>
      </c>
      <c r="F17" s="18"/>
      <c r="G17" s="76"/>
      <c r="I17" s="22">
        <v>1</v>
      </c>
      <c r="J17" s="23" t="s">
        <v>31</v>
      </c>
      <c r="K17" s="24">
        <f>SUM(N5:N10)</f>
        <v>200000</v>
      </c>
      <c r="L17" s="18"/>
      <c r="N17" s="77"/>
      <c r="O17" s="77"/>
      <c r="P17" s="77"/>
      <c r="Q17" s="77"/>
      <c r="R17" s="77"/>
      <c r="S17" s="77"/>
      <c r="T17" s="77"/>
      <c r="U17" s="77"/>
      <c r="V17" s="77"/>
      <c r="W17" s="77"/>
      <c r="X17" s="77"/>
      <c r="Y17" s="77"/>
      <c r="Z17" s="77"/>
      <c r="AA17" s="77"/>
    </row>
    <row r="18" spans="1:27" ht="23.4" customHeight="1" x14ac:dyDescent="0.45">
      <c r="A18" s="82" t="s">
        <v>47</v>
      </c>
      <c r="B18" s="112" t="s">
        <v>118</v>
      </c>
      <c r="C18" s="22">
        <v>1</v>
      </c>
      <c r="D18" s="23" t="s">
        <v>31</v>
      </c>
      <c r="E18" s="24">
        <f>SUM(E17*16%)</f>
        <v>5244024</v>
      </c>
      <c r="F18" s="18">
        <f>C18*E18</f>
        <v>5244024</v>
      </c>
      <c r="G18" s="83" t="s">
        <v>255</v>
      </c>
      <c r="I18" s="111">
        <f>SUM(F18/E17)</f>
        <v>0.16</v>
      </c>
      <c r="J18" s="23"/>
      <c r="K18" s="24"/>
      <c r="L18" s="18"/>
      <c r="N18" s="77"/>
      <c r="O18" s="77"/>
      <c r="P18" s="77"/>
      <c r="Q18" s="77"/>
      <c r="R18" s="77"/>
      <c r="S18" s="77"/>
      <c r="T18" s="77"/>
      <c r="U18" s="77"/>
      <c r="V18" s="77"/>
      <c r="W18" s="77"/>
      <c r="X18" s="77"/>
      <c r="Y18" s="77"/>
      <c r="Z18" s="77"/>
      <c r="AA18" s="77"/>
    </row>
    <row r="19" spans="1:27" ht="23.4" customHeight="1" x14ac:dyDescent="0.45">
      <c r="A19" s="82"/>
      <c r="B19" s="17"/>
      <c r="C19" s="22"/>
      <c r="D19" s="23"/>
      <c r="E19" s="24"/>
      <c r="F19" s="18"/>
      <c r="G19" s="69"/>
      <c r="I19" s="22">
        <v>35</v>
      </c>
      <c r="J19" s="23" t="s">
        <v>48</v>
      </c>
      <c r="K19" s="24">
        <f>SUM(E19*0.8)</f>
        <v>0</v>
      </c>
      <c r="L19" s="18">
        <f>I19*K19</f>
        <v>0</v>
      </c>
      <c r="N19"/>
      <c r="O19" s="77"/>
      <c r="P19" s="77"/>
      <c r="Q19" s="77"/>
      <c r="R19" s="77"/>
      <c r="S19" s="77"/>
      <c r="T19" s="77"/>
      <c r="U19" s="77"/>
      <c r="V19" s="77"/>
      <c r="W19" s="77"/>
      <c r="X19" s="77"/>
      <c r="Y19" s="77"/>
      <c r="Z19" s="77"/>
      <c r="AA19" s="77"/>
    </row>
    <row r="20" spans="1:27" ht="23.4" customHeight="1" x14ac:dyDescent="0.45">
      <c r="A20" s="82" t="s">
        <v>49</v>
      </c>
      <c r="B20" s="17"/>
      <c r="C20" s="22">
        <v>1</v>
      </c>
      <c r="D20" s="23" t="s">
        <v>31</v>
      </c>
      <c r="E20" s="24">
        <f>SUM(E17)*0.15</f>
        <v>4916272.5</v>
      </c>
      <c r="F20" s="18">
        <f>C20*E20</f>
        <v>4916272.5</v>
      </c>
      <c r="G20" s="84"/>
      <c r="I20" s="22">
        <v>1</v>
      </c>
      <c r="J20" s="23" t="s">
        <v>31</v>
      </c>
      <c r="K20" s="24">
        <f>SUM(E20*0.8)</f>
        <v>3933018</v>
      </c>
      <c r="L20" s="18">
        <f>I20*K20</f>
        <v>3933018</v>
      </c>
      <c r="N20"/>
      <c r="O20" s="77"/>
      <c r="P20" s="77"/>
      <c r="Q20" s="77"/>
      <c r="R20" s="77"/>
      <c r="S20" s="77"/>
      <c r="T20" s="77"/>
      <c r="U20" s="77"/>
      <c r="V20" s="77"/>
      <c r="W20" s="77"/>
      <c r="X20" s="77"/>
      <c r="Y20" s="77"/>
      <c r="Z20" s="77"/>
      <c r="AA20" s="77"/>
    </row>
    <row r="21" spans="1:27" ht="23.4" customHeight="1" x14ac:dyDescent="0.45">
      <c r="A21" s="82" t="s">
        <v>50</v>
      </c>
      <c r="B21" s="17"/>
      <c r="C21" s="22">
        <v>1</v>
      </c>
      <c r="D21" s="23" t="s">
        <v>31</v>
      </c>
      <c r="E21" s="24">
        <v>-33454</v>
      </c>
      <c r="F21" s="18">
        <f>C21*E21</f>
        <v>-33454</v>
      </c>
      <c r="G21" s="280" t="s">
        <v>115</v>
      </c>
      <c r="I21" s="22">
        <v>1</v>
      </c>
      <c r="J21" s="23" t="s">
        <v>31</v>
      </c>
      <c r="K21" s="24">
        <f>SUM(E21*0.8)</f>
        <v>-26763.200000000001</v>
      </c>
      <c r="L21" s="18">
        <f>I21*K21</f>
        <v>-26763.200000000001</v>
      </c>
      <c r="N21"/>
      <c r="O21" s="77"/>
      <c r="P21" s="77"/>
      <c r="Q21" s="77"/>
      <c r="R21" s="77"/>
      <c r="S21" s="77"/>
      <c r="T21" s="77"/>
      <c r="U21" s="77"/>
      <c r="V21" s="77"/>
      <c r="W21" s="77"/>
      <c r="X21" s="77"/>
      <c r="Y21" s="77"/>
      <c r="Z21" s="77"/>
      <c r="AA21" s="77"/>
    </row>
    <row r="22" spans="1:27" ht="23.4" customHeight="1" x14ac:dyDescent="0.45">
      <c r="A22" s="82" t="s">
        <v>51</v>
      </c>
      <c r="B22" s="17"/>
      <c r="C22" s="22">
        <v>1</v>
      </c>
      <c r="D22" s="23" t="s">
        <v>31</v>
      </c>
      <c r="E22" s="24">
        <f>SUM(E17)*6.5%</f>
        <v>2130384.75</v>
      </c>
      <c r="F22" s="18">
        <v>5798007</v>
      </c>
      <c r="G22" s="281"/>
      <c r="I22" s="22">
        <v>1</v>
      </c>
      <c r="J22" s="23" t="s">
        <v>31</v>
      </c>
      <c r="K22" s="24">
        <f>SUM(E22*0.8)</f>
        <v>1704307.8</v>
      </c>
      <c r="L22" s="18">
        <f>I22*K22</f>
        <v>1704307.8</v>
      </c>
      <c r="N22"/>
      <c r="O22" s="77"/>
      <c r="P22" s="77"/>
      <c r="Q22" s="77"/>
      <c r="R22" s="77"/>
      <c r="S22" s="77"/>
      <c r="T22" s="77"/>
      <c r="U22" s="77"/>
      <c r="V22" s="77"/>
      <c r="W22" s="77"/>
      <c r="X22" s="77"/>
      <c r="Y22" s="77"/>
      <c r="Z22" s="77"/>
      <c r="AA22" s="77"/>
    </row>
    <row r="23" spans="1:27" ht="23.4" customHeight="1" thickBot="1" x14ac:dyDescent="0.5">
      <c r="A23" s="85" t="s">
        <v>52</v>
      </c>
      <c r="B23" s="86"/>
      <c r="C23" s="87"/>
      <c r="D23" s="88"/>
      <c r="E23" s="89"/>
      <c r="F23" s="90">
        <f>SUM(F5:F22)</f>
        <v>48699999.5</v>
      </c>
      <c r="G23" s="91"/>
      <c r="I23" s="17"/>
      <c r="J23" s="18"/>
      <c r="K23" s="18"/>
      <c r="L23" s="37">
        <f>SUM(L3:L22)</f>
        <v>31830682.600000001</v>
      </c>
      <c r="M23" s="81">
        <f>SUM(F23-L23)</f>
        <v>16869316.899999999</v>
      </c>
      <c r="N23" s="27">
        <f>SUM(M23/F23)</f>
        <v>0.34639254770423555</v>
      </c>
      <c r="O23" s="77"/>
      <c r="P23" s="77"/>
      <c r="Q23" s="77"/>
      <c r="R23" s="77"/>
      <c r="S23" s="77"/>
      <c r="T23" s="77"/>
      <c r="U23" s="77"/>
      <c r="V23" s="77"/>
      <c r="W23" s="77"/>
      <c r="X23" s="77"/>
      <c r="Y23" s="77"/>
      <c r="Z23" s="77"/>
      <c r="AA23" s="77"/>
    </row>
    <row r="24" spans="1:27" ht="23.4" customHeight="1" thickBot="1" x14ac:dyDescent="0.5">
      <c r="A24" s="282" t="s">
        <v>53</v>
      </c>
      <c r="B24" s="282"/>
      <c r="C24" s="282"/>
      <c r="D24" s="282"/>
      <c r="E24" s="282"/>
      <c r="F24" s="282"/>
      <c r="G24" s="282"/>
      <c r="J24"/>
      <c r="K24"/>
      <c r="L24" s="81"/>
      <c r="N24"/>
      <c r="O24" s="78"/>
    </row>
    <row r="25" spans="1:27" ht="23.4" customHeight="1" x14ac:dyDescent="0.45">
      <c r="A25" s="71" t="s">
        <v>38</v>
      </c>
      <c r="B25" s="72" t="s">
        <v>39</v>
      </c>
      <c r="C25" s="72" t="s">
        <v>40</v>
      </c>
      <c r="D25" s="73" t="s">
        <v>41</v>
      </c>
      <c r="E25" s="73" t="s">
        <v>42</v>
      </c>
      <c r="F25" s="73" t="s">
        <v>43</v>
      </c>
      <c r="G25" s="74" t="s">
        <v>44</v>
      </c>
      <c r="I25" s="19"/>
      <c r="J25" s="23"/>
      <c r="K25" s="18"/>
      <c r="L25" s="18"/>
    </row>
    <row r="26" spans="1:27" ht="20.100000000000001" customHeight="1" x14ac:dyDescent="0.45">
      <c r="A26" s="75" t="s">
        <v>54</v>
      </c>
      <c r="B26" s="17"/>
      <c r="C26" s="17"/>
      <c r="D26" s="18"/>
      <c r="E26" s="18"/>
      <c r="F26" s="18"/>
      <c r="G26" s="76"/>
      <c r="I26" s="19"/>
      <c r="J26" s="23"/>
      <c r="K26" s="18"/>
      <c r="L26" s="26"/>
    </row>
    <row r="27" spans="1:27" ht="20.100000000000001" customHeight="1" x14ac:dyDescent="0.45">
      <c r="A27" s="82" t="s">
        <v>55</v>
      </c>
      <c r="B27" s="35"/>
      <c r="C27" s="36">
        <v>1</v>
      </c>
      <c r="D27" s="23" t="s">
        <v>56</v>
      </c>
      <c r="E27" s="18">
        <v>25200</v>
      </c>
      <c r="F27" s="18">
        <f>SUM(E27*C27)</f>
        <v>25200</v>
      </c>
      <c r="G27" s="76"/>
      <c r="I27" s="19"/>
      <c r="J27" s="23"/>
      <c r="K27" s="18"/>
      <c r="L27" s="38"/>
    </row>
    <row r="28" spans="1:27" ht="20.100000000000001" customHeight="1" x14ac:dyDescent="0.45">
      <c r="A28" s="82" t="s">
        <v>57</v>
      </c>
      <c r="B28" s="35"/>
      <c r="C28" s="36">
        <v>3</v>
      </c>
      <c r="D28" s="23" t="s">
        <v>56</v>
      </c>
      <c r="E28" s="18">
        <v>22100</v>
      </c>
      <c r="F28" s="18">
        <f>SUM(E28*C28)</f>
        <v>66300</v>
      </c>
      <c r="G28" s="76"/>
      <c r="I28" s="19"/>
      <c r="J28" s="23"/>
      <c r="K28" s="39"/>
      <c r="L28" s="26"/>
    </row>
    <row r="29" spans="1:27" ht="20.100000000000001" customHeight="1" x14ac:dyDescent="0.45">
      <c r="A29" s="82" t="s">
        <v>58</v>
      </c>
      <c r="B29" s="35"/>
      <c r="C29" s="36">
        <v>4</v>
      </c>
      <c r="D29" s="23" t="s">
        <v>56</v>
      </c>
      <c r="E29" s="18">
        <v>22700</v>
      </c>
      <c r="F29" s="18">
        <f>SUM(E29*C29)</f>
        <v>90800</v>
      </c>
      <c r="G29" s="76"/>
      <c r="I29" s="19"/>
      <c r="J29" s="23"/>
      <c r="K29" s="18"/>
      <c r="L29" s="18"/>
    </row>
    <row r="30" spans="1:27" ht="20.100000000000001" customHeight="1" x14ac:dyDescent="0.45">
      <c r="A30" s="82" t="s">
        <v>59</v>
      </c>
      <c r="B30" s="35"/>
      <c r="C30" s="36">
        <v>4</v>
      </c>
      <c r="D30" s="23" t="s">
        <v>56</v>
      </c>
      <c r="E30" s="18">
        <v>19200</v>
      </c>
      <c r="F30" s="18">
        <f>SUM(E30*C30)</f>
        <v>76800</v>
      </c>
      <c r="G30" s="76"/>
      <c r="I30" s="19"/>
      <c r="J30" s="23"/>
      <c r="K30" s="18"/>
      <c r="L30" s="18"/>
    </row>
    <row r="31" spans="1:27" ht="20.100000000000001" customHeight="1" x14ac:dyDescent="0.45">
      <c r="A31" s="82" t="s">
        <v>60</v>
      </c>
      <c r="B31" s="35"/>
      <c r="C31" s="36">
        <v>4</v>
      </c>
      <c r="D31" s="23" t="s">
        <v>56</v>
      </c>
      <c r="E31" s="18">
        <v>20300</v>
      </c>
      <c r="F31" s="18">
        <f>SUM(E31*C31)</f>
        <v>81200</v>
      </c>
      <c r="G31" s="76"/>
      <c r="I31" s="19"/>
      <c r="J31" s="23"/>
      <c r="K31" s="18"/>
      <c r="L31" s="37"/>
    </row>
    <row r="32" spans="1:27" ht="20.100000000000001" customHeight="1" x14ac:dyDescent="0.45">
      <c r="A32" s="82"/>
      <c r="B32" s="35"/>
      <c r="C32" s="36"/>
      <c r="D32" s="23"/>
      <c r="E32" s="18"/>
      <c r="F32" s="18"/>
      <c r="G32" s="76"/>
      <c r="I32" s="19"/>
      <c r="J32" s="23"/>
      <c r="K32" s="18"/>
      <c r="L32" s="18"/>
    </row>
    <row r="33" spans="1:12" ht="20.100000000000001" customHeight="1" x14ac:dyDescent="0.45">
      <c r="A33" s="75" t="s">
        <v>61</v>
      </c>
      <c r="B33" s="17"/>
      <c r="C33" s="36"/>
      <c r="D33" s="18"/>
      <c r="E33" s="18"/>
      <c r="F33" s="18"/>
      <c r="G33" s="76"/>
      <c r="I33" s="19"/>
      <c r="J33" s="23"/>
      <c r="K33" s="18"/>
      <c r="L33" s="18"/>
    </row>
    <row r="34" spans="1:12" ht="20.100000000000001" customHeight="1" x14ac:dyDescent="0.45">
      <c r="A34" s="82" t="s">
        <v>62</v>
      </c>
      <c r="B34" s="35" t="s">
        <v>63</v>
      </c>
      <c r="C34" s="36">
        <v>2</v>
      </c>
      <c r="D34" s="23" t="s">
        <v>64</v>
      </c>
      <c r="E34" s="18">
        <v>175000</v>
      </c>
      <c r="F34" s="18">
        <f>E34*C34</f>
        <v>350000</v>
      </c>
      <c r="G34" s="76"/>
      <c r="I34" s="19"/>
      <c r="J34" s="23"/>
      <c r="K34" s="18"/>
      <c r="L34" s="18"/>
    </row>
    <row r="35" spans="1:12" ht="20.100000000000001" customHeight="1" x14ac:dyDescent="0.45">
      <c r="A35" s="82" t="s">
        <v>65</v>
      </c>
      <c r="B35" s="35" t="s">
        <v>66</v>
      </c>
      <c r="C35" s="36">
        <v>1</v>
      </c>
      <c r="D35" s="23" t="s">
        <v>64</v>
      </c>
      <c r="E35" s="18">
        <v>190000</v>
      </c>
      <c r="F35" s="18">
        <f>E35*C35</f>
        <v>190000</v>
      </c>
      <c r="G35" s="76"/>
      <c r="I35" s="19"/>
      <c r="J35" s="23"/>
      <c r="K35" s="18"/>
      <c r="L35" s="18"/>
    </row>
    <row r="36" spans="1:12" ht="20.100000000000001" customHeight="1" x14ac:dyDescent="0.45">
      <c r="A36" s="82" t="s">
        <v>67</v>
      </c>
      <c r="B36" s="35" t="s">
        <v>68</v>
      </c>
      <c r="C36" s="36">
        <v>2</v>
      </c>
      <c r="D36" s="23" t="s">
        <v>64</v>
      </c>
      <c r="E36" s="18">
        <v>180000</v>
      </c>
      <c r="F36" s="18">
        <f>SUM(C36*E36)</f>
        <v>360000</v>
      </c>
      <c r="G36" s="76"/>
      <c r="I36" s="19"/>
      <c r="J36" s="23"/>
      <c r="K36" s="18"/>
      <c r="L36" s="18"/>
    </row>
    <row r="37" spans="1:12" ht="20.100000000000001" customHeight="1" x14ac:dyDescent="0.45">
      <c r="A37" s="82" t="s">
        <v>69</v>
      </c>
      <c r="B37" s="35" t="s">
        <v>70</v>
      </c>
      <c r="C37" s="36">
        <v>2</v>
      </c>
      <c r="D37" s="23" t="s">
        <v>64</v>
      </c>
      <c r="E37" s="40"/>
      <c r="F37" s="40"/>
      <c r="G37" s="76"/>
      <c r="I37" s="19"/>
      <c r="J37" s="23"/>
      <c r="K37" s="18"/>
      <c r="L37" s="18"/>
    </row>
    <row r="38" spans="1:12" ht="20.100000000000001" customHeight="1" x14ac:dyDescent="0.45">
      <c r="A38" s="82" t="s">
        <v>71</v>
      </c>
      <c r="B38" s="35"/>
      <c r="C38" s="36">
        <v>1</v>
      </c>
      <c r="D38" s="23" t="s">
        <v>64</v>
      </c>
      <c r="E38" s="18">
        <v>8600</v>
      </c>
      <c r="F38" s="18">
        <f t="shared" ref="F38:F43" si="4">E38*C38</f>
        <v>8600</v>
      </c>
      <c r="G38" s="76"/>
      <c r="I38" s="19"/>
      <c r="J38" s="23"/>
      <c r="K38" s="18"/>
      <c r="L38" s="18"/>
    </row>
    <row r="39" spans="1:12" ht="20.100000000000001" customHeight="1" x14ac:dyDescent="0.45">
      <c r="A39" s="82" t="s">
        <v>72</v>
      </c>
      <c r="B39" s="35"/>
      <c r="C39" s="36">
        <v>3</v>
      </c>
      <c r="D39" s="23" t="s">
        <v>64</v>
      </c>
      <c r="E39" s="18">
        <v>2800</v>
      </c>
      <c r="F39" s="18">
        <f t="shared" si="4"/>
        <v>8400</v>
      </c>
      <c r="G39" s="76"/>
      <c r="I39" s="19"/>
      <c r="J39" s="23"/>
      <c r="K39" s="18"/>
      <c r="L39" s="18"/>
    </row>
    <row r="40" spans="1:12" ht="20.100000000000001" customHeight="1" x14ac:dyDescent="0.45">
      <c r="A40" s="82" t="s">
        <v>73</v>
      </c>
      <c r="B40" s="35" t="s">
        <v>74</v>
      </c>
      <c r="C40" s="36">
        <v>1</v>
      </c>
      <c r="D40" s="23" t="s">
        <v>64</v>
      </c>
      <c r="E40" s="18">
        <v>10392</v>
      </c>
      <c r="F40" s="18">
        <f t="shared" si="4"/>
        <v>10392</v>
      </c>
      <c r="G40" s="76"/>
      <c r="I40" s="19"/>
      <c r="J40" s="23"/>
      <c r="K40" s="18"/>
      <c r="L40" s="18"/>
    </row>
    <row r="41" spans="1:12" ht="20.100000000000001" customHeight="1" x14ac:dyDescent="0.45">
      <c r="A41" s="82" t="s">
        <v>75</v>
      </c>
      <c r="B41" s="35" t="s">
        <v>76</v>
      </c>
      <c r="C41" s="36">
        <v>1</v>
      </c>
      <c r="D41" s="23" t="s">
        <v>64</v>
      </c>
      <c r="E41" s="18">
        <v>14664</v>
      </c>
      <c r="F41" s="18">
        <f t="shared" si="4"/>
        <v>14664</v>
      </c>
      <c r="G41" s="76"/>
      <c r="I41" s="17"/>
      <c r="J41" s="18"/>
      <c r="K41" s="18"/>
      <c r="L41" s="18"/>
    </row>
    <row r="42" spans="1:12" ht="20.100000000000001" customHeight="1" x14ac:dyDescent="0.45">
      <c r="A42" s="93" t="s">
        <v>77</v>
      </c>
      <c r="B42" s="35" t="s">
        <v>78</v>
      </c>
      <c r="C42" s="36">
        <v>1</v>
      </c>
      <c r="D42" s="23" t="s">
        <v>64</v>
      </c>
      <c r="E42" s="18">
        <v>13500</v>
      </c>
      <c r="F42" s="18">
        <f t="shared" si="4"/>
        <v>13500</v>
      </c>
      <c r="G42" s="76"/>
    </row>
    <row r="43" spans="1:12" ht="20.100000000000001" customHeight="1" x14ac:dyDescent="0.45">
      <c r="A43" s="93" t="s">
        <v>79</v>
      </c>
      <c r="B43" s="35" t="s">
        <v>80</v>
      </c>
      <c r="C43" s="36">
        <v>1</v>
      </c>
      <c r="D43" s="23" t="s">
        <v>64</v>
      </c>
      <c r="E43" s="18">
        <v>9700</v>
      </c>
      <c r="F43" s="18">
        <f t="shared" si="4"/>
        <v>9700</v>
      </c>
      <c r="G43" s="76"/>
    </row>
    <row r="44" spans="1:12" ht="20.100000000000001" customHeight="1" x14ac:dyDescent="0.45">
      <c r="A44" s="93"/>
      <c r="B44" s="35"/>
      <c r="C44" s="36"/>
      <c r="D44" s="23"/>
      <c r="E44" s="18"/>
      <c r="F44" s="18"/>
      <c r="G44" s="76"/>
    </row>
    <row r="45" spans="1:12" ht="20.100000000000001" customHeight="1" x14ac:dyDescent="0.45">
      <c r="A45" s="94" t="s">
        <v>81</v>
      </c>
      <c r="B45" s="35"/>
      <c r="C45" s="36"/>
      <c r="D45" s="23"/>
      <c r="E45" s="18"/>
      <c r="F45" s="18"/>
      <c r="G45" s="76"/>
    </row>
    <row r="46" spans="1:12" ht="20.100000000000001" customHeight="1" x14ac:dyDescent="0.45">
      <c r="A46" s="82" t="s">
        <v>82</v>
      </c>
      <c r="B46" s="35" t="s">
        <v>83</v>
      </c>
      <c r="C46" s="36">
        <v>10</v>
      </c>
      <c r="D46" s="23" t="s">
        <v>84</v>
      </c>
      <c r="E46" s="18">
        <v>450000</v>
      </c>
      <c r="F46" s="18">
        <f>E46*C46*0.025</f>
        <v>112500</v>
      </c>
      <c r="G46" s="76" t="s">
        <v>85</v>
      </c>
    </row>
    <row r="47" spans="1:12" ht="20.100000000000001" customHeight="1" x14ac:dyDescent="0.45">
      <c r="A47" s="82" t="s">
        <v>86</v>
      </c>
      <c r="B47" s="35" t="s">
        <v>87</v>
      </c>
      <c r="C47" s="36">
        <v>1</v>
      </c>
      <c r="D47" s="23" t="s">
        <v>88</v>
      </c>
      <c r="E47" s="18">
        <v>50000</v>
      </c>
      <c r="F47" s="18">
        <f>E47*C47*0.25</f>
        <v>12500</v>
      </c>
      <c r="G47" s="76" t="s">
        <v>89</v>
      </c>
    </row>
    <row r="48" spans="1:12" ht="20.100000000000001" customHeight="1" x14ac:dyDescent="0.45">
      <c r="A48" s="82" t="s">
        <v>90</v>
      </c>
      <c r="B48" s="35" t="s">
        <v>91</v>
      </c>
      <c r="C48" s="36">
        <v>1</v>
      </c>
      <c r="D48" s="23" t="s">
        <v>31</v>
      </c>
      <c r="E48" s="18">
        <v>25000</v>
      </c>
      <c r="F48" s="18">
        <f>E48*C48</f>
        <v>25000</v>
      </c>
      <c r="G48" s="76"/>
    </row>
    <row r="49" spans="1:7" ht="20.100000000000001" customHeight="1" x14ac:dyDescent="0.45">
      <c r="A49" s="93" t="s">
        <v>50</v>
      </c>
      <c r="B49" s="35"/>
      <c r="C49" s="36">
        <v>1</v>
      </c>
      <c r="D49" s="23" t="s">
        <v>31</v>
      </c>
      <c r="E49" s="18">
        <v>-5556</v>
      </c>
      <c r="F49" s="18">
        <f>E49*C49</f>
        <v>-5556</v>
      </c>
      <c r="G49" s="76"/>
    </row>
    <row r="50" spans="1:7" ht="20.100000000000001" customHeight="1" x14ac:dyDescent="0.45">
      <c r="A50" s="82" t="s">
        <v>92</v>
      </c>
      <c r="B50" s="35"/>
      <c r="C50" s="36"/>
      <c r="D50" s="23"/>
      <c r="E50" s="18"/>
      <c r="F50" s="37">
        <f>SUM(F26:F49)</f>
        <v>1450000</v>
      </c>
      <c r="G50" s="76"/>
    </row>
    <row r="51" spans="1:7" ht="18.600000000000001" thickBot="1" x14ac:dyDescent="0.5">
      <c r="A51" s="95" t="s">
        <v>93</v>
      </c>
      <c r="B51" s="96"/>
      <c r="C51" s="87">
        <v>0.7</v>
      </c>
      <c r="D51" s="88" t="s">
        <v>94</v>
      </c>
      <c r="E51" s="90">
        <f>SUM(F50)</f>
        <v>1450000</v>
      </c>
      <c r="F51" s="97">
        <f>SUM(C51*E51)</f>
        <v>1014999.9999999999</v>
      </c>
      <c r="G51" s="91"/>
    </row>
  </sheetData>
  <mergeCells count="6">
    <mergeCell ref="A1:G1"/>
    <mergeCell ref="I1:J1"/>
    <mergeCell ref="K1:L1"/>
    <mergeCell ref="G21:G22"/>
    <mergeCell ref="A24:G24"/>
    <mergeCell ref="A9:G9"/>
  </mergeCells>
  <phoneticPr fontId="3"/>
  <printOptions horizontalCentered="1" verticalCentered="1"/>
  <pageMargins left="0.23622047244094491" right="0.23622047244094491" top="0.74803149606299213" bottom="0.74803149606299213" header="0.31496062992125984" footer="0.31496062992125984"/>
  <pageSetup paperSize="9" scale="88" orientation="landscape" r:id="rId1"/>
  <headerFooter alignWithMargins="0">
    <oddHeader>&amp;R&amp;P / &amp;N ページ</oddHeader>
    <oddFooter>&amp;R株式会社 サンユウテック</oddFooter>
  </headerFooter>
  <rowBreaks count="1" manualBreakCount="1">
    <brk id="2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C16C7-7BC4-4771-8E8C-32A3C870F102}">
  <sheetPr>
    <pageSetUpPr fitToPage="1"/>
  </sheetPr>
  <dimension ref="A1:K46"/>
  <sheetViews>
    <sheetView tabSelected="1" view="pageBreakPreview" zoomScale="85" zoomScaleNormal="100" zoomScaleSheetLayoutView="85" workbookViewId="0">
      <selection activeCell="B7" sqref="F7:AF7"/>
    </sheetView>
  </sheetViews>
  <sheetFormatPr defaultRowHeight="18" x14ac:dyDescent="0.45"/>
  <cols>
    <col min="1" max="1" width="3" style="49" customWidth="1"/>
    <col min="2" max="2" width="31.3984375" customWidth="1"/>
    <col min="3" max="3" width="12.5" customWidth="1"/>
    <col min="4" max="4" width="12" style="28" customWidth="1"/>
    <col min="5" max="6" width="15.8984375" style="28" customWidth="1"/>
    <col min="7" max="7" width="47.69921875" customWidth="1"/>
    <col min="8" max="8" width="12.5" customWidth="1"/>
    <col min="9" max="9" width="12" style="28" customWidth="1"/>
    <col min="10" max="11" width="15.8984375" style="28" customWidth="1"/>
  </cols>
  <sheetData>
    <row r="1" spans="1:11" ht="42" customHeight="1" thickTop="1" thickBot="1" x14ac:dyDescent="0.5">
      <c r="A1" s="276" t="s">
        <v>104</v>
      </c>
      <c r="B1" s="277"/>
      <c r="C1" s="277"/>
      <c r="D1" s="277"/>
      <c r="E1" s="277"/>
      <c r="F1" s="277"/>
      <c r="G1" s="278"/>
      <c r="H1" s="279" t="s">
        <v>37</v>
      </c>
      <c r="I1" s="260"/>
      <c r="J1" s="259"/>
      <c r="K1" s="260"/>
    </row>
    <row r="2" spans="1:11" ht="23.1" customHeight="1" thickTop="1" x14ac:dyDescent="0.45">
      <c r="A2" s="54"/>
      <c r="B2" s="267" t="s">
        <v>119</v>
      </c>
      <c r="C2" s="267"/>
      <c r="D2" s="267"/>
      <c r="E2" s="267"/>
      <c r="F2" s="267"/>
      <c r="G2" s="268"/>
      <c r="H2" s="44" t="s">
        <v>40</v>
      </c>
      <c r="I2" s="15" t="s">
        <v>41</v>
      </c>
      <c r="J2" s="15" t="s">
        <v>42</v>
      </c>
      <c r="K2" s="15" t="s">
        <v>43</v>
      </c>
    </row>
    <row r="3" spans="1:11" ht="23.1" customHeight="1" x14ac:dyDescent="0.45">
      <c r="A3" s="54">
        <v>2</v>
      </c>
      <c r="B3" s="267" t="s">
        <v>95</v>
      </c>
      <c r="C3" s="267"/>
      <c r="D3" s="267"/>
      <c r="E3" s="267"/>
      <c r="F3" s="267"/>
      <c r="G3" s="268"/>
      <c r="H3" s="45"/>
      <c r="I3" s="18"/>
      <c r="J3" s="18"/>
      <c r="K3" s="18"/>
    </row>
    <row r="4" spans="1:11" ht="23.1" customHeight="1" x14ac:dyDescent="0.45">
      <c r="A4" s="55">
        <v>3</v>
      </c>
      <c r="B4" s="267" t="s">
        <v>96</v>
      </c>
      <c r="C4" s="267"/>
      <c r="D4" s="267"/>
      <c r="E4" s="267"/>
      <c r="F4" s="267"/>
      <c r="G4" s="268"/>
      <c r="H4" s="45"/>
      <c r="I4" s="23"/>
      <c r="J4" s="24"/>
      <c r="K4" s="18">
        <f>SUM(H4*J4)</f>
        <v>0</v>
      </c>
    </row>
    <row r="5" spans="1:11" ht="23.1" customHeight="1" x14ac:dyDescent="0.45">
      <c r="A5" s="54">
        <v>4</v>
      </c>
      <c r="B5" s="271" t="s">
        <v>99</v>
      </c>
      <c r="C5" s="271"/>
      <c r="D5" s="271"/>
      <c r="E5" s="271"/>
      <c r="F5" s="271"/>
      <c r="G5" s="272"/>
      <c r="H5" s="45"/>
      <c r="I5" s="23"/>
      <c r="J5" s="24"/>
      <c r="K5" s="18"/>
    </row>
    <row r="6" spans="1:11" ht="23.1" customHeight="1" x14ac:dyDescent="0.45">
      <c r="A6" s="56">
        <v>5</v>
      </c>
      <c r="B6" s="271" t="s">
        <v>100</v>
      </c>
      <c r="C6" s="271"/>
      <c r="D6" s="271"/>
      <c r="E6" s="271"/>
      <c r="F6" s="271"/>
      <c r="G6" s="272"/>
      <c r="H6" s="45"/>
      <c r="I6" s="23"/>
      <c r="J6" s="24"/>
      <c r="K6" s="18">
        <f>SUM(H6*J6)</f>
        <v>0</v>
      </c>
    </row>
    <row r="7" spans="1:11" ht="23.1" customHeight="1" x14ac:dyDescent="0.45">
      <c r="A7" s="54">
        <v>6</v>
      </c>
      <c r="B7" s="269" t="s">
        <v>98</v>
      </c>
      <c r="C7" s="269"/>
      <c r="D7" s="269"/>
      <c r="E7" s="269"/>
      <c r="F7" s="269"/>
      <c r="G7" s="270"/>
      <c r="H7" s="45"/>
      <c r="I7" s="23"/>
      <c r="J7" s="24"/>
      <c r="K7" s="18"/>
    </row>
    <row r="8" spans="1:11" ht="23.1" customHeight="1" x14ac:dyDescent="0.45">
      <c r="A8" s="54">
        <v>7</v>
      </c>
      <c r="B8" s="271" t="s">
        <v>99</v>
      </c>
      <c r="C8" s="271"/>
      <c r="D8" s="271"/>
      <c r="E8" s="271"/>
      <c r="F8" s="271"/>
      <c r="G8" s="272"/>
      <c r="H8" s="46"/>
      <c r="I8" s="43"/>
      <c r="J8" s="24"/>
      <c r="K8" s="18">
        <f>SUM(H8*J8)</f>
        <v>0</v>
      </c>
    </row>
    <row r="9" spans="1:11" ht="23.1" customHeight="1" x14ac:dyDescent="0.45">
      <c r="A9" s="54">
        <v>8</v>
      </c>
      <c r="B9" s="271" t="s">
        <v>100</v>
      </c>
      <c r="C9" s="271"/>
      <c r="D9" s="271"/>
      <c r="E9" s="271"/>
      <c r="F9" s="271"/>
      <c r="G9" s="272"/>
      <c r="H9" s="45"/>
      <c r="I9" s="23"/>
      <c r="J9" s="24"/>
      <c r="K9" s="26"/>
    </row>
    <row r="10" spans="1:11" ht="23.1" customHeight="1" x14ac:dyDescent="0.45">
      <c r="A10" s="54">
        <v>9</v>
      </c>
      <c r="B10" s="273" t="s">
        <v>120</v>
      </c>
      <c r="C10" s="273"/>
      <c r="D10" s="273"/>
      <c r="E10" s="273"/>
      <c r="F10" s="273"/>
      <c r="G10" s="274"/>
      <c r="H10" s="46"/>
      <c r="I10" s="43"/>
      <c r="J10" s="24"/>
      <c r="K10" s="18">
        <f>SUM(H10*J10)</f>
        <v>0</v>
      </c>
    </row>
    <row r="11" spans="1:11" ht="23.1" customHeight="1" x14ac:dyDescent="0.45">
      <c r="A11" s="54">
        <v>10</v>
      </c>
      <c r="B11" s="286" t="s">
        <v>116</v>
      </c>
      <c r="C11" s="287"/>
      <c r="D11" s="287"/>
      <c r="E11" s="287"/>
      <c r="F11" s="287"/>
      <c r="G11" s="287"/>
      <c r="H11" s="288"/>
      <c r="I11" s="23"/>
      <c r="J11" s="24"/>
      <c r="K11" s="26"/>
    </row>
    <row r="12" spans="1:11" ht="23.1" customHeight="1" x14ac:dyDescent="0.45">
      <c r="A12" s="54">
        <v>11</v>
      </c>
      <c r="B12" s="273" t="s">
        <v>220</v>
      </c>
      <c r="C12" s="273"/>
      <c r="D12" s="273"/>
      <c r="E12" s="273"/>
      <c r="F12" s="273"/>
      <c r="G12" s="274"/>
      <c r="H12" s="45"/>
      <c r="I12" s="23"/>
      <c r="J12" s="24"/>
      <c r="K12" s="18">
        <f>SUM(H12*J12)</f>
        <v>0</v>
      </c>
    </row>
    <row r="13" spans="1:11" ht="23.1" customHeight="1" x14ac:dyDescent="0.45">
      <c r="A13" s="54">
        <v>12</v>
      </c>
      <c r="B13" s="273" t="s">
        <v>221</v>
      </c>
      <c r="C13" s="273"/>
      <c r="D13" s="273"/>
      <c r="E13" s="273"/>
      <c r="F13" s="273"/>
      <c r="G13" s="274"/>
      <c r="H13" s="45"/>
      <c r="I13" s="23"/>
      <c r="J13" s="24"/>
      <c r="K13" s="18"/>
    </row>
    <row r="14" spans="1:11" ht="23.1" customHeight="1" x14ac:dyDescent="0.45">
      <c r="A14" s="54"/>
      <c r="B14" s="273"/>
      <c r="C14" s="273"/>
      <c r="D14" s="273"/>
      <c r="E14" s="273"/>
      <c r="F14" s="273"/>
      <c r="G14" s="274"/>
      <c r="H14" s="45"/>
      <c r="I14" s="23"/>
      <c r="J14" s="24"/>
      <c r="K14" s="18"/>
    </row>
    <row r="15" spans="1:11" ht="23.1" customHeight="1" x14ac:dyDescent="0.45">
      <c r="A15" s="54"/>
      <c r="B15" s="273"/>
      <c r="C15" s="273"/>
      <c r="D15" s="273"/>
      <c r="E15" s="273"/>
      <c r="F15" s="273"/>
      <c r="G15" s="274"/>
      <c r="H15" s="45"/>
      <c r="I15" s="23"/>
      <c r="J15" s="24"/>
      <c r="K15" s="18"/>
    </row>
    <row r="16" spans="1:11" ht="23.1" customHeight="1" x14ac:dyDescent="0.45">
      <c r="A16" s="57"/>
      <c r="B16" s="265"/>
      <c r="C16" s="265"/>
      <c r="D16" s="265"/>
      <c r="E16" s="265"/>
      <c r="F16" s="265"/>
      <c r="G16" s="266"/>
      <c r="H16" s="45"/>
      <c r="I16" s="23"/>
      <c r="J16" s="24"/>
      <c r="K16" s="18"/>
    </row>
    <row r="17" spans="1:11" ht="23.1" customHeight="1" x14ac:dyDescent="0.45">
      <c r="A17" s="57"/>
      <c r="B17" s="265"/>
      <c r="C17" s="265"/>
      <c r="D17" s="265"/>
      <c r="E17" s="265"/>
      <c r="F17" s="265"/>
      <c r="G17" s="266"/>
      <c r="H17" s="47"/>
      <c r="I17" s="33"/>
      <c r="J17" s="34"/>
      <c r="K17" s="34"/>
    </row>
    <row r="18" spans="1:11" ht="23.1" customHeight="1" x14ac:dyDescent="0.45">
      <c r="A18" s="57"/>
      <c r="B18" s="265"/>
      <c r="C18" s="265"/>
      <c r="D18" s="265"/>
      <c r="E18" s="265"/>
      <c r="F18" s="265"/>
      <c r="G18" s="266"/>
      <c r="H18" s="45"/>
      <c r="I18" s="23"/>
      <c r="J18" s="18"/>
      <c r="K18" s="18"/>
    </row>
    <row r="19" spans="1:11" ht="23.1" customHeight="1" x14ac:dyDescent="0.45">
      <c r="A19" s="57"/>
      <c r="B19" s="265"/>
      <c r="C19" s="265"/>
      <c r="D19" s="265"/>
      <c r="E19" s="265"/>
      <c r="F19" s="265"/>
      <c r="G19" s="266"/>
      <c r="H19" s="45"/>
      <c r="I19" s="23"/>
      <c r="J19" s="18"/>
      <c r="K19" s="18"/>
    </row>
    <row r="20" spans="1:11" ht="23.1" customHeight="1" x14ac:dyDescent="0.45">
      <c r="A20" s="57"/>
      <c r="B20" s="265"/>
      <c r="C20" s="265"/>
      <c r="D20" s="265"/>
      <c r="E20" s="265"/>
      <c r="F20" s="265"/>
      <c r="G20" s="266"/>
      <c r="H20" s="45"/>
      <c r="I20" s="23"/>
      <c r="J20" s="18"/>
      <c r="K20" s="18"/>
    </row>
    <row r="21" spans="1:11" ht="23.1" customHeight="1" x14ac:dyDescent="0.45">
      <c r="A21" s="57"/>
      <c r="B21" s="265"/>
      <c r="C21" s="265"/>
      <c r="D21" s="265"/>
      <c r="E21" s="265"/>
      <c r="F21" s="265"/>
      <c r="G21" s="266"/>
      <c r="H21" s="48"/>
      <c r="I21" s="18"/>
      <c r="J21" s="18"/>
      <c r="K21" s="18"/>
    </row>
    <row r="22" spans="1:11" ht="23.1" customHeight="1" x14ac:dyDescent="0.45">
      <c r="A22" s="57"/>
      <c r="B22" s="265"/>
      <c r="C22" s="265"/>
      <c r="D22" s="265"/>
      <c r="E22" s="265"/>
      <c r="F22" s="265"/>
      <c r="G22" s="266"/>
      <c r="H22" s="48"/>
      <c r="I22" s="18"/>
      <c r="J22" s="18"/>
      <c r="K22" s="18"/>
    </row>
    <row r="23" spans="1:11" ht="23.4" customHeight="1" x14ac:dyDescent="0.45">
      <c r="A23" s="58"/>
      <c r="B23" s="263"/>
      <c r="C23" s="263"/>
      <c r="D23" s="263"/>
      <c r="E23" s="263"/>
      <c r="F23" s="263"/>
      <c r="G23" s="264"/>
      <c r="H23" s="48"/>
      <c r="I23" s="18"/>
      <c r="J23" s="18"/>
      <c r="K23" s="37">
        <f>SUM(K3:K20)</f>
        <v>0</v>
      </c>
    </row>
    <row r="24" spans="1:11" x14ac:dyDescent="0.45">
      <c r="I24"/>
      <c r="J24"/>
      <c r="K24"/>
    </row>
    <row r="25" spans="1:11" ht="23.1" customHeight="1" x14ac:dyDescent="0.45">
      <c r="H25" s="44" t="s">
        <v>25</v>
      </c>
      <c r="I25" s="15" t="s">
        <v>26</v>
      </c>
      <c r="J25" s="15" t="s">
        <v>42</v>
      </c>
      <c r="K25" s="15" t="s">
        <v>43</v>
      </c>
    </row>
    <row r="26" spans="1:11" ht="23.4" customHeight="1" x14ac:dyDescent="0.45">
      <c r="H26" s="48"/>
      <c r="I26" s="18"/>
      <c r="J26" s="18"/>
      <c r="K26" s="18"/>
    </row>
    <row r="27" spans="1:11" ht="23.4" customHeight="1" x14ac:dyDescent="0.45">
      <c r="H27" s="45"/>
      <c r="I27" s="23"/>
      <c r="J27" s="18"/>
      <c r="K27" s="18"/>
    </row>
    <row r="28" spans="1:11" ht="23.4" customHeight="1" x14ac:dyDescent="0.45">
      <c r="H28" s="45"/>
      <c r="I28" s="23"/>
      <c r="J28" s="18"/>
      <c r="K28" s="18"/>
    </row>
    <row r="29" spans="1:11" ht="23.4" customHeight="1" x14ac:dyDescent="0.45">
      <c r="H29" s="45"/>
      <c r="I29" s="23"/>
      <c r="J29" s="18"/>
      <c r="K29" s="18"/>
    </row>
    <row r="30" spans="1:11" ht="23.4" customHeight="1" x14ac:dyDescent="0.45">
      <c r="H30" s="45"/>
      <c r="I30" s="23"/>
      <c r="J30" s="18"/>
      <c r="K30" s="50"/>
    </row>
    <row r="31" spans="1:11" ht="23.4" customHeight="1" x14ac:dyDescent="0.45">
      <c r="H31" s="45"/>
      <c r="I31" s="23"/>
      <c r="J31" s="18"/>
      <c r="K31" s="18"/>
    </row>
    <row r="32" spans="1:11" ht="23.4" customHeight="1" x14ac:dyDescent="0.45">
      <c r="H32" s="45"/>
      <c r="I32" s="23"/>
      <c r="J32" s="18"/>
      <c r="K32" s="18"/>
    </row>
    <row r="33" spans="8:11" ht="23.4" customHeight="1" x14ac:dyDescent="0.45">
      <c r="H33" s="45"/>
      <c r="I33" s="23"/>
      <c r="J33" s="18"/>
      <c r="K33" s="18"/>
    </row>
    <row r="34" spans="8:11" ht="23.4" customHeight="1" x14ac:dyDescent="0.45">
      <c r="H34" s="45"/>
      <c r="I34" s="23"/>
      <c r="J34" s="18"/>
      <c r="K34" s="26"/>
    </row>
    <row r="35" spans="8:11" ht="23.4" customHeight="1" x14ac:dyDescent="0.45">
      <c r="H35" s="45"/>
      <c r="I35" s="23"/>
      <c r="J35" s="18"/>
      <c r="K35" s="38"/>
    </row>
    <row r="36" spans="8:11" ht="23.4" customHeight="1" x14ac:dyDescent="0.45">
      <c r="H36" s="45"/>
      <c r="I36" s="23"/>
      <c r="J36" s="39"/>
      <c r="K36" s="26"/>
    </row>
    <row r="37" spans="8:11" ht="23.4" customHeight="1" x14ac:dyDescent="0.45">
      <c r="H37" s="45"/>
      <c r="I37" s="23"/>
      <c r="J37" s="18"/>
      <c r="K37" s="18"/>
    </row>
    <row r="38" spans="8:11" ht="23.4" customHeight="1" x14ac:dyDescent="0.45">
      <c r="H38" s="45"/>
      <c r="I38" s="23"/>
      <c r="J38" s="18"/>
      <c r="K38" s="18"/>
    </row>
    <row r="39" spans="8:11" ht="23.4" customHeight="1" x14ac:dyDescent="0.45">
      <c r="H39" s="45"/>
      <c r="I39" s="23"/>
      <c r="J39" s="18"/>
      <c r="K39" s="37"/>
    </row>
    <row r="40" spans="8:11" ht="23.4" customHeight="1" x14ac:dyDescent="0.45">
      <c r="H40" s="45"/>
      <c r="I40" s="23"/>
      <c r="J40" s="18"/>
      <c r="K40" s="18"/>
    </row>
    <row r="41" spans="8:11" ht="23.4" customHeight="1" x14ac:dyDescent="0.45">
      <c r="H41" s="45"/>
      <c r="I41" s="23"/>
      <c r="J41" s="18"/>
      <c r="K41" s="18"/>
    </row>
    <row r="42" spans="8:11" ht="23.4" customHeight="1" x14ac:dyDescent="0.45">
      <c r="H42" s="45"/>
      <c r="I42" s="23"/>
      <c r="J42" s="18"/>
      <c r="K42" s="18"/>
    </row>
    <row r="43" spans="8:11" ht="23.4" customHeight="1" x14ac:dyDescent="0.45">
      <c r="H43" s="45"/>
      <c r="I43" s="23"/>
      <c r="J43" s="18"/>
      <c r="K43" s="18"/>
    </row>
    <row r="44" spans="8:11" ht="23.4" customHeight="1" x14ac:dyDescent="0.45">
      <c r="H44" s="45"/>
      <c r="I44" s="23"/>
      <c r="J44" s="18"/>
      <c r="K44" s="18"/>
    </row>
    <row r="45" spans="8:11" ht="23.4" customHeight="1" x14ac:dyDescent="0.45">
      <c r="H45" s="48"/>
      <c r="I45" s="18"/>
      <c r="J45" s="18"/>
      <c r="K45" s="18"/>
    </row>
    <row r="46" spans="8:11" ht="23.4" customHeight="1" x14ac:dyDescent="0.45">
      <c r="H46" s="48"/>
      <c r="I46" s="18"/>
      <c r="J46" s="18"/>
      <c r="K46" s="37">
        <f>K23+K39</f>
        <v>0</v>
      </c>
    </row>
  </sheetData>
  <mergeCells count="25">
    <mergeCell ref="B4:G4"/>
    <mergeCell ref="A1:G1"/>
    <mergeCell ref="H1:I1"/>
    <mergeCell ref="J1:K1"/>
    <mergeCell ref="B2:G2"/>
    <mergeCell ref="B3:G3"/>
    <mergeCell ref="B16:G16"/>
    <mergeCell ref="B5:G5"/>
    <mergeCell ref="B6:G6"/>
    <mergeCell ref="B7:G7"/>
    <mergeCell ref="B8:G8"/>
    <mergeCell ref="B9:G9"/>
    <mergeCell ref="B10:G10"/>
    <mergeCell ref="B11:H11"/>
    <mergeCell ref="B12:G12"/>
    <mergeCell ref="B13:G13"/>
    <mergeCell ref="B14:G14"/>
    <mergeCell ref="B15:G15"/>
    <mergeCell ref="B23:G23"/>
    <mergeCell ref="B17:G17"/>
    <mergeCell ref="B18:G18"/>
    <mergeCell ref="B19:G19"/>
    <mergeCell ref="B20:G20"/>
    <mergeCell ref="B21:G21"/>
    <mergeCell ref="B22:G22"/>
  </mergeCells>
  <phoneticPr fontId="3"/>
  <printOptions horizontalCentered="1" verticalCentered="1"/>
  <pageMargins left="0.23622047244094491" right="0.23622047244094491" top="0.74803149606299213" bottom="0.74803149606299213" header="0.31496062992125984" footer="0.31496062992125984"/>
  <pageSetup paperSize="9" scale="86" orientation="landscape" r:id="rId1"/>
  <headerFooter alignWithMargins="0">
    <oddHeader>&amp;R&amp;P / &amp;N ページ</oddHeader>
    <oddFooter>&amp;R株式会社 サンユウテック</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36690-F554-4798-A7EC-A00A42B9BF50}">
  <sheetPr codeName="Sheet8">
    <pageSetUpPr fitToPage="1"/>
  </sheetPr>
  <dimension ref="A1:AF52"/>
  <sheetViews>
    <sheetView tabSelected="1" view="pageBreakPreview" topLeftCell="A12" zoomScale="90" zoomScaleNormal="100" zoomScaleSheetLayoutView="90" workbookViewId="0">
      <selection activeCell="B7" sqref="F7:AF7"/>
    </sheetView>
  </sheetViews>
  <sheetFormatPr defaultRowHeight="18" x14ac:dyDescent="0.45"/>
  <cols>
    <col min="1" max="1" width="29.09765625" customWidth="1"/>
    <col min="2" max="2" width="31.3984375" customWidth="1"/>
    <col min="3" max="3" width="12.5" customWidth="1"/>
    <col min="4" max="4" width="12" style="28" customWidth="1"/>
    <col min="5" max="6" width="15.8984375" style="28" customWidth="1"/>
    <col min="7" max="7" width="20.3984375" customWidth="1"/>
    <col min="8" max="8" width="4.69921875" customWidth="1"/>
    <col min="9" max="9" width="12.5" customWidth="1"/>
    <col min="10" max="10" width="12" style="28" customWidth="1"/>
    <col min="11" max="12" width="15.8984375" style="28" customWidth="1"/>
    <col min="13" max="13" width="11.8984375" bestFit="1" customWidth="1"/>
    <col min="14" max="14" width="10.5" style="70" bestFit="1" customWidth="1"/>
    <col min="15" max="18" width="8.796875" style="70"/>
    <col min="19" max="19" width="10.5" style="70" bestFit="1" customWidth="1"/>
    <col min="20" max="20" width="8.796875" style="70"/>
    <col min="21" max="21" width="9.5" style="70" bestFit="1" customWidth="1"/>
    <col min="22" max="31" width="8.796875" style="70"/>
  </cols>
  <sheetData>
    <row r="1" spans="1:32" ht="23.4" customHeight="1" thickTop="1" thickBot="1" x14ac:dyDescent="0.5">
      <c r="A1" s="258" t="s">
        <v>177</v>
      </c>
      <c r="B1" s="258"/>
      <c r="C1" s="258"/>
      <c r="D1" s="258"/>
      <c r="E1" s="258"/>
      <c r="F1" s="258"/>
      <c r="G1" s="258"/>
      <c r="I1" s="259" t="s">
        <v>37</v>
      </c>
      <c r="J1" s="260"/>
      <c r="K1" s="259"/>
      <c r="L1" s="260"/>
    </row>
    <row r="2" spans="1:32" ht="23.4" customHeight="1" thickTop="1" x14ac:dyDescent="0.45">
      <c r="A2" s="129"/>
      <c r="B2" s="130" t="s">
        <v>39</v>
      </c>
      <c r="C2" s="130" t="s">
        <v>40</v>
      </c>
      <c r="D2" s="131" t="s">
        <v>41</v>
      </c>
      <c r="E2" s="131" t="s">
        <v>42</v>
      </c>
      <c r="F2" s="131" t="s">
        <v>43</v>
      </c>
      <c r="G2" s="132" t="s">
        <v>44</v>
      </c>
      <c r="I2" s="14" t="s">
        <v>40</v>
      </c>
      <c r="J2" s="15" t="s">
        <v>41</v>
      </c>
      <c r="K2" s="15" t="s">
        <v>42</v>
      </c>
      <c r="L2" s="15" t="s">
        <v>43</v>
      </c>
    </row>
    <row r="3" spans="1:32" ht="23.4" customHeight="1" x14ac:dyDescent="0.45">
      <c r="A3" s="75" t="s">
        <v>232</v>
      </c>
      <c r="B3" s="17"/>
      <c r="C3" s="17"/>
      <c r="D3" s="18"/>
      <c r="E3" s="18"/>
      <c r="F3" s="18"/>
      <c r="G3" s="76"/>
      <c r="I3" s="19"/>
      <c r="J3" s="18"/>
      <c r="K3" s="18"/>
      <c r="L3" s="18"/>
      <c r="N3" s="77"/>
      <c r="O3" s="77"/>
      <c r="P3" s="77"/>
      <c r="Q3" s="77"/>
      <c r="R3" s="77"/>
      <c r="S3" s="78"/>
      <c r="T3" s="78"/>
      <c r="U3" s="77"/>
      <c r="V3" s="77"/>
      <c r="W3" s="77"/>
      <c r="X3" s="77"/>
      <c r="Y3" s="77"/>
      <c r="Z3" s="77"/>
      <c r="AA3" s="77"/>
      <c r="AB3" s="77"/>
      <c r="AC3" s="77"/>
      <c r="AD3" s="77"/>
      <c r="AE3" s="77"/>
      <c r="AF3" s="28"/>
    </row>
    <row r="4" spans="1:32" ht="23.4" customHeight="1" x14ac:dyDescent="0.45">
      <c r="A4" s="65" t="s">
        <v>256</v>
      </c>
      <c r="B4" s="113" t="s">
        <v>229</v>
      </c>
      <c r="C4" s="22">
        <v>31896</v>
      </c>
      <c r="D4" s="23" t="s">
        <v>254</v>
      </c>
      <c r="E4" s="24">
        <v>750</v>
      </c>
      <c r="F4" s="24">
        <f>SUM(C4*E4)</f>
        <v>23922000</v>
      </c>
      <c r="G4" s="100"/>
      <c r="I4" s="19"/>
      <c r="J4" s="23"/>
      <c r="K4" s="24"/>
      <c r="L4" s="18"/>
      <c r="M4" s="70"/>
    </row>
    <row r="5" spans="1:32" ht="23.4" customHeight="1" x14ac:dyDescent="0.45">
      <c r="A5" s="65" t="s">
        <v>257</v>
      </c>
      <c r="B5" s="113" t="s">
        <v>229</v>
      </c>
      <c r="C5" s="22">
        <v>4860</v>
      </c>
      <c r="D5" s="23" t="s">
        <v>254</v>
      </c>
      <c r="E5" s="24">
        <v>750</v>
      </c>
      <c r="F5" s="24">
        <f>SUM(C5*E5)</f>
        <v>3645000</v>
      </c>
      <c r="G5" s="100"/>
      <c r="I5" s="25"/>
      <c r="J5" s="23"/>
      <c r="K5" s="24"/>
      <c r="L5" s="18"/>
      <c r="M5" s="81"/>
      <c r="N5" s="77"/>
      <c r="O5" s="77"/>
      <c r="P5" s="77"/>
      <c r="Q5" s="77"/>
      <c r="R5" s="77"/>
      <c r="S5" s="77"/>
      <c r="T5" s="77"/>
      <c r="U5" s="77"/>
      <c r="V5" s="77"/>
      <c r="W5" s="78"/>
      <c r="X5" s="77"/>
      <c r="Y5" s="77"/>
      <c r="Z5" s="78"/>
      <c r="AA5" s="77"/>
    </row>
    <row r="6" spans="1:32" ht="23.4" customHeight="1" x14ac:dyDescent="0.45">
      <c r="A6" s="65"/>
      <c r="B6" s="113"/>
      <c r="C6" s="25"/>
      <c r="D6" s="23"/>
      <c r="E6" s="24"/>
      <c r="F6" s="24"/>
      <c r="G6" s="100"/>
      <c r="I6" s="25"/>
      <c r="J6" s="23"/>
      <c r="K6" s="24"/>
      <c r="L6" s="18"/>
      <c r="N6" s="77"/>
      <c r="O6" s="77"/>
      <c r="P6" s="77"/>
      <c r="Q6" s="77"/>
      <c r="R6" s="77"/>
      <c r="S6" s="77"/>
      <c r="T6" s="77"/>
      <c r="U6" s="77"/>
      <c r="V6" s="77"/>
      <c r="W6" s="77"/>
      <c r="X6" s="77"/>
      <c r="Y6" s="77"/>
      <c r="Z6" s="77"/>
      <c r="AA6" s="77"/>
    </row>
    <row r="7" spans="1:32" ht="23.4" customHeight="1" x14ac:dyDescent="0.45">
      <c r="A7" s="65"/>
      <c r="B7" s="113"/>
      <c r="C7" s="25"/>
      <c r="D7" s="23"/>
      <c r="E7" s="24"/>
      <c r="F7" s="24"/>
      <c r="G7" s="100"/>
      <c r="I7" s="25"/>
      <c r="J7" s="23"/>
      <c r="K7" s="24"/>
      <c r="L7" s="18"/>
      <c r="N7" s="77"/>
      <c r="O7" s="77"/>
      <c r="P7" s="77"/>
      <c r="Q7" s="77"/>
      <c r="R7" s="77"/>
      <c r="S7" s="77"/>
      <c r="T7" s="77"/>
      <c r="U7" s="77"/>
      <c r="V7" s="77"/>
      <c r="W7" s="77"/>
      <c r="X7" s="77"/>
      <c r="Y7" s="77"/>
      <c r="Z7" s="77"/>
      <c r="AA7" s="77"/>
    </row>
    <row r="8" spans="1:32" ht="23.4" customHeight="1" x14ac:dyDescent="0.45">
      <c r="A8" s="66"/>
      <c r="B8" s="98"/>
      <c r="C8" s="25"/>
      <c r="D8" s="23"/>
      <c r="E8" s="24"/>
      <c r="F8" s="24"/>
      <c r="G8" s="80"/>
      <c r="I8" s="25"/>
      <c r="J8" s="23"/>
      <c r="K8" s="24"/>
      <c r="L8" s="18"/>
      <c r="N8" s="77"/>
      <c r="O8" s="77"/>
      <c r="P8" s="77"/>
      <c r="Q8" s="77"/>
      <c r="R8" s="77"/>
      <c r="S8" s="77"/>
      <c r="T8" s="77"/>
      <c r="U8" s="77"/>
      <c r="V8" s="77"/>
      <c r="W8" s="77"/>
      <c r="X8" s="77"/>
      <c r="Y8" s="77"/>
      <c r="Z8" s="77"/>
      <c r="AA8" s="77"/>
    </row>
    <row r="9" spans="1:32" ht="23.4" customHeight="1" x14ac:dyDescent="0.45">
      <c r="A9" s="99"/>
      <c r="B9" s="98"/>
      <c r="C9" s="25"/>
      <c r="D9" s="23"/>
      <c r="E9" s="24"/>
      <c r="F9" s="24"/>
      <c r="G9" s="80"/>
      <c r="I9" s="25"/>
      <c r="J9" s="23"/>
      <c r="K9" s="24"/>
      <c r="L9" s="18"/>
      <c r="N9" s="77"/>
      <c r="O9" s="77"/>
      <c r="P9" s="77"/>
      <c r="Q9" s="77"/>
      <c r="R9" s="77"/>
      <c r="S9" s="77"/>
      <c r="T9" s="77"/>
      <c r="U9" s="77"/>
      <c r="V9" s="77"/>
      <c r="W9" s="77"/>
      <c r="X9" s="77"/>
      <c r="Y9" s="77"/>
      <c r="Z9" s="77"/>
      <c r="AA9" s="77"/>
    </row>
    <row r="10" spans="1:32" ht="23.4" customHeight="1" x14ac:dyDescent="0.45">
      <c r="A10" s="99"/>
      <c r="B10" s="98"/>
      <c r="C10" s="25"/>
      <c r="D10" s="23"/>
      <c r="E10" s="24"/>
      <c r="F10" s="24"/>
      <c r="G10" s="80"/>
      <c r="I10" s="25"/>
      <c r="J10" s="43"/>
      <c r="K10" s="24"/>
      <c r="L10" s="18"/>
      <c r="N10" s="77"/>
      <c r="O10" s="77"/>
      <c r="P10" s="77"/>
      <c r="Q10" s="77"/>
      <c r="R10" s="77"/>
      <c r="S10" s="77"/>
      <c r="T10" s="77"/>
      <c r="U10" s="77"/>
      <c r="V10" s="77"/>
      <c r="W10" s="77"/>
      <c r="X10" s="77"/>
      <c r="Y10" s="77"/>
      <c r="Z10" s="77"/>
      <c r="AA10" s="77"/>
    </row>
    <row r="11" spans="1:32" ht="23.4" customHeight="1" x14ac:dyDescent="0.45">
      <c r="A11" s="99"/>
      <c r="B11" s="98"/>
      <c r="C11" s="25"/>
      <c r="D11" s="23"/>
      <c r="E11" s="24"/>
      <c r="F11" s="24"/>
      <c r="G11" s="80"/>
      <c r="I11" s="25"/>
      <c r="J11" s="23"/>
      <c r="K11" s="24"/>
      <c r="L11" s="18"/>
      <c r="N11" s="77"/>
      <c r="O11" s="77"/>
      <c r="P11" s="77"/>
      <c r="Q11" s="77"/>
      <c r="R11" s="77"/>
      <c r="S11" s="77"/>
      <c r="T11" s="77"/>
      <c r="U11" s="77"/>
      <c r="V11" s="77"/>
      <c r="W11" s="77"/>
      <c r="X11" s="77"/>
      <c r="Y11" s="77"/>
      <c r="Z11" s="77"/>
      <c r="AA11" s="77"/>
    </row>
    <row r="12" spans="1:32" ht="23.4" customHeight="1" x14ac:dyDescent="0.45">
      <c r="A12" s="67"/>
      <c r="B12" s="98"/>
      <c r="C12" s="25"/>
      <c r="D12" s="23"/>
      <c r="E12" s="24"/>
      <c r="F12" s="24"/>
      <c r="G12" s="76"/>
      <c r="I12" s="19"/>
      <c r="J12" s="23"/>
      <c r="K12" s="24"/>
      <c r="L12" s="18"/>
      <c r="N12" s="77"/>
      <c r="O12" s="77"/>
      <c r="P12" s="77"/>
      <c r="Q12" s="77"/>
      <c r="R12" s="77"/>
      <c r="S12" s="77"/>
      <c r="T12" s="77"/>
      <c r="U12" s="77"/>
      <c r="V12" s="77"/>
      <c r="W12" s="77"/>
      <c r="X12" s="77"/>
      <c r="Y12" s="77"/>
      <c r="Z12" s="77"/>
      <c r="AA12" s="77"/>
    </row>
    <row r="13" spans="1:32" ht="23.4" customHeight="1" x14ac:dyDescent="0.45">
      <c r="A13" s="68"/>
      <c r="B13" s="98"/>
      <c r="C13" s="25"/>
      <c r="D13" s="23"/>
      <c r="E13" s="24"/>
      <c r="F13" s="24"/>
      <c r="G13" s="76"/>
      <c r="I13" s="19"/>
      <c r="J13" s="23"/>
      <c r="K13" s="24"/>
      <c r="L13" s="18"/>
      <c r="N13" s="77"/>
      <c r="O13" s="77"/>
      <c r="P13" s="77"/>
      <c r="Q13" s="77"/>
      <c r="R13" s="77"/>
      <c r="S13" s="77"/>
      <c r="T13" s="77"/>
      <c r="U13" s="77"/>
      <c r="V13" s="77"/>
      <c r="W13" s="77"/>
      <c r="X13" s="77"/>
      <c r="Y13" s="77"/>
      <c r="Z13" s="77"/>
      <c r="AA13" s="77"/>
    </row>
    <row r="14" spans="1:32" ht="23.4" customHeight="1" x14ac:dyDescent="0.45">
      <c r="A14" s="67"/>
      <c r="B14" s="98"/>
      <c r="C14" s="25"/>
      <c r="D14" s="23"/>
      <c r="E14" s="24"/>
      <c r="F14" s="24"/>
      <c r="G14" s="76"/>
      <c r="I14" s="19"/>
      <c r="J14" s="23"/>
      <c r="K14" s="24"/>
      <c r="L14" s="18"/>
      <c r="N14" s="77"/>
      <c r="O14" s="77"/>
      <c r="P14" s="77"/>
      <c r="Q14" s="77"/>
      <c r="R14" s="77"/>
      <c r="S14" s="77"/>
      <c r="T14" s="77"/>
      <c r="U14" s="77"/>
      <c r="V14" s="77"/>
      <c r="W14" s="77"/>
      <c r="X14" s="77"/>
      <c r="Y14" s="77"/>
      <c r="Z14" s="77"/>
      <c r="AA14" s="77"/>
    </row>
    <row r="15" spans="1:32" ht="23.4" customHeight="1" x14ac:dyDescent="0.45">
      <c r="A15" s="68"/>
      <c r="B15" s="98"/>
      <c r="C15" s="25"/>
      <c r="D15" s="23"/>
      <c r="E15" s="24"/>
      <c r="F15" s="24"/>
      <c r="G15" s="76"/>
      <c r="I15" s="19"/>
      <c r="J15" s="23"/>
      <c r="K15" s="24"/>
      <c r="L15" s="18"/>
      <c r="N15" s="77"/>
      <c r="O15" s="77"/>
      <c r="P15" s="77"/>
      <c r="Q15" s="77"/>
      <c r="R15" s="77"/>
      <c r="S15" s="77"/>
      <c r="T15" s="77"/>
      <c r="U15" s="77"/>
      <c r="V15" s="77"/>
      <c r="W15" s="77"/>
      <c r="X15" s="77"/>
      <c r="Y15" s="77"/>
      <c r="Z15" s="77"/>
      <c r="AA15" s="77"/>
    </row>
    <row r="16" spans="1:32" ht="23.4" customHeight="1" x14ac:dyDescent="0.45">
      <c r="A16" s="79"/>
      <c r="B16" s="21"/>
      <c r="C16" s="22"/>
      <c r="D16" s="23"/>
      <c r="E16" s="24"/>
      <c r="F16" s="24"/>
      <c r="G16" s="101"/>
      <c r="I16" s="19"/>
      <c r="J16" s="23"/>
      <c r="K16" s="24"/>
      <c r="L16" s="18"/>
      <c r="N16" s="77"/>
      <c r="O16" s="77"/>
      <c r="P16" s="77"/>
      <c r="Q16" s="77"/>
      <c r="R16" s="77"/>
      <c r="S16" s="77"/>
      <c r="T16" s="77"/>
      <c r="U16" s="77"/>
      <c r="V16" s="77"/>
      <c r="W16" s="77"/>
      <c r="X16" s="77"/>
      <c r="Y16" s="77"/>
      <c r="Z16" s="77"/>
      <c r="AA16" s="77"/>
    </row>
    <row r="17" spans="1:27" ht="23.4" customHeight="1" x14ac:dyDescent="0.45">
      <c r="A17" s="79"/>
      <c r="B17" s="21"/>
      <c r="C17" s="22"/>
      <c r="D17" s="23"/>
      <c r="E17" s="24"/>
      <c r="F17" s="24"/>
      <c r="G17" s="101"/>
      <c r="I17" s="19"/>
      <c r="J17" s="23"/>
      <c r="K17" s="24"/>
      <c r="L17" s="18"/>
      <c r="N17" s="77"/>
      <c r="O17" s="77"/>
      <c r="P17" s="77"/>
      <c r="Q17" s="77"/>
      <c r="R17" s="77"/>
      <c r="S17" s="77"/>
      <c r="T17" s="77"/>
      <c r="U17" s="77"/>
      <c r="V17" s="77"/>
      <c r="W17" s="77"/>
      <c r="X17" s="77"/>
      <c r="Y17" s="77"/>
      <c r="Z17" s="77"/>
      <c r="AA17" s="77"/>
    </row>
    <row r="18" spans="1:27" ht="23.4" customHeight="1" x14ac:dyDescent="0.45">
      <c r="A18" s="82" t="s">
        <v>45</v>
      </c>
      <c r="B18" s="21"/>
      <c r="C18" s="22">
        <v>1</v>
      </c>
      <c r="D18" s="23" t="s">
        <v>31</v>
      </c>
      <c r="E18" s="24">
        <f>SUM(F4:F17)</f>
        <v>27567000</v>
      </c>
      <c r="F18" s="18"/>
      <c r="G18" s="76"/>
      <c r="I18" s="22">
        <v>1</v>
      </c>
      <c r="J18" s="23" t="s">
        <v>31</v>
      </c>
      <c r="K18" s="24">
        <f>SUM(N5:N11)</f>
        <v>0</v>
      </c>
      <c r="L18" s="18"/>
      <c r="N18" s="77"/>
      <c r="O18" s="77"/>
      <c r="P18" s="77"/>
      <c r="Q18" s="77"/>
      <c r="R18" s="77"/>
      <c r="S18" s="77"/>
      <c r="T18" s="77"/>
      <c r="U18" s="77"/>
      <c r="V18" s="77"/>
      <c r="W18" s="77"/>
      <c r="X18" s="77"/>
      <c r="Y18" s="77"/>
      <c r="Z18" s="77"/>
      <c r="AA18" s="77"/>
    </row>
    <row r="19" spans="1:27" ht="23.4" customHeight="1" x14ac:dyDescent="0.45">
      <c r="A19" s="82" t="s">
        <v>47</v>
      </c>
      <c r="B19" s="21" t="s">
        <v>230</v>
      </c>
      <c r="C19" s="22">
        <v>1</v>
      </c>
      <c r="D19" s="23" t="s">
        <v>31</v>
      </c>
      <c r="E19" s="24">
        <f>SUM(E18*16%)</f>
        <v>4410720</v>
      </c>
      <c r="F19" s="18">
        <f>C19*E19</f>
        <v>4410720</v>
      </c>
      <c r="G19" s="83" t="s">
        <v>255</v>
      </c>
      <c r="I19" s="19"/>
      <c r="J19" s="23"/>
      <c r="K19" s="24"/>
      <c r="L19" s="18"/>
      <c r="N19" s="77"/>
      <c r="O19" s="77"/>
      <c r="P19" s="77"/>
      <c r="Q19" s="77"/>
      <c r="R19" s="77"/>
      <c r="S19" s="77"/>
      <c r="T19" s="77"/>
      <c r="U19" s="77"/>
      <c r="V19" s="77"/>
      <c r="W19" s="77"/>
      <c r="X19" s="77"/>
      <c r="Y19" s="77"/>
      <c r="Z19" s="77"/>
      <c r="AA19" s="77"/>
    </row>
    <row r="20" spans="1:27" ht="23.4" customHeight="1" x14ac:dyDescent="0.45">
      <c r="A20" s="82"/>
      <c r="B20" s="17"/>
      <c r="C20" s="22"/>
      <c r="D20" s="23"/>
      <c r="E20" s="24"/>
      <c r="F20" s="18"/>
      <c r="G20" s="69"/>
      <c r="I20" s="22">
        <v>2</v>
      </c>
      <c r="J20" s="23" t="s">
        <v>48</v>
      </c>
      <c r="K20" s="24">
        <v>80000</v>
      </c>
      <c r="L20" s="18">
        <f>I20*K20</f>
        <v>160000</v>
      </c>
      <c r="N20">
        <f>SUM(L20*0.7)</f>
        <v>112000</v>
      </c>
      <c r="O20" s="77"/>
      <c r="P20" s="77"/>
      <c r="Q20" s="77"/>
      <c r="R20" s="77"/>
      <c r="S20" s="77"/>
      <c r="T20" s="77"/>
      <c r="U20" s="77"/>
      <c r="V20" s="77"/>
      <c r="W20" s="77"/>
      <c r="X20" s="77"/>
      <c r="Y20" s="77"/>
      <c r="Z20" s="77"/>
      <c r="AA20" s="77"/>
    </row>
    <row r="21" spans="1:27" ht="23.4" customHeight="1" x14ac:dyDescent="0.45">
      <c r="A21" s="82" t="s">
        <v>49</v>
      </c>
      <c r="B21" s="17"/>
      <c r="C21" s="22">
        <v>1</v>
      </c>
      <c r="D21" s="23" t="s">
        <v>31</v>
      </c>
      <c r="E21" s="24">
        <f>SUM(E18)*0.15</f>
        <v>4135050</v>
      </c>
      <c r="F21" s="18">
        <v>9122738</v>
      </c>
      <c r="G21" s="84"/>
      <c r="I21" s="22">
        <v>1</v>
      </c>
      <c r="J21" s="23" t="s">
        <v>31</v>
      </c>
      <c r="K21" s="24">
        <f>SUM(K18)*0.1</f>
        <v>0</v>
      </c>
      <c r="L21" s="18">
        <f>I21*K21</f>
        <v>0</v>
      </c>
      <c r="N21">
        <f>SUM(L21*0.7)</f>
        <v>0</v>
      </c>
      <c r="O21" s="77"/>
      <c r="P21" s="77"/>
      <c r="Q21" s="77"/>
      <c r="R21" s="77"/>
      <c r="S21" s="77"/>
      <c r="T21" s="77"/>
      <c r="U21" s="77"/>
      <c r="V21" s="77"/>
      <c r="W21" s="77"/>
      <c r="X21" s="77"/>
      <c r="Y21" s="77"/>
      <c r="Z21" s="77"/>
      <c r="AA21" s="77"/>
    </row>
    <row r="22" spans="1:27" ht="23.4" customHeight="1" x14ac:dyDescent="0.45">
      <c r="A22" s="82" t="s">
        <v>50</v>
      </c>
      <c r="B22" s="17"/>
      <c r="C22" s="22">
        <v>1</v>
      </c>
      <c r="D22" s="23" t="s">
        <v>31</v>
      </c>
      <c r="E22" s="24">
        <v>-53644</v>
      </c>
      <c r="F22" s="18">
        <f>C22*E22</f>
        <v>-53644</v>
      </c>
      <c r="G22" s="280" t="s">
        <v>115</v>
      </c>
      <c r="I22" s="22">
        <v>1</v>
      </c>
      <c r="J22" s="23" t="s">
        <v>31</v>
      </c>
      <c r="K22" s="24"/>
      <c r="L22" s="18">
        <f>I22*K22</f>
        <v>0</v>
      </c>
      <c r="N22">
        <f>SUM(L22*0.7)</f>
        <v>0</v>
      </c>
      <c r="O22" s="77"/>
      <c r="P22" s="77"/>
      <c r="Q22" s="77"/>
      <c r="R22" s="77"/>
      <c r="S22" s="77"/>
      <c r="T22" s="77"/>
      <c r="U22" s="77"/>
      <c r="V22" s="77"/>
      <c r="W22" s="77"/>
      <c r="X22" s="77"/>
      <c r="Y22" s="77"/>
      <c r="Z22" s="77"/>
      <c r="AA22" s="77"/>
    </row>
    <row r="23" spans="1:27" ht="23.4" customHeight="1" x14ac:dyDescent="0.45">
      <c r="A23" s="82" t="s">
        <v>51</v>
      </c>
      <c r="B23" s="17"/>
      <c r="C23" s="22">
        <v>1</v>
      </c>
      <c r="D23" s="23" t="s">
        <v>31</v>
      </c>
      <c r="E23" s="24">
        <f>SUM(E18)*6.5%</f>
        <v>1791855</v>
      </c>
      <c r="F23" s="18">
        <v>3953186</v>
      </c>
      <c r="G23" s="281"/>
      <c r="I23" s="22">
        <v>1</v>
      </c>
      <c r="J23" s="23" t="s">
        <v>31</v>
      </c>
      <c r="K23" s="24">
        <f>SUM(K18)*5%</f>
        <v>0</v>
      </c>
      <c r="L23" s="18">
        <f>I23*K23</f>
        <v>0</v>
      </c>
      <c r="N23">
        <f>SUM(L23*0.7)</f>
        <v>0</v>
      </c>
      <c r="O23" s="77"/>
      <c r="P23" s="77"/>
      <c r="Q23" s="77"/>
      <c r="R23" s="77"/>
      <c r="S23" s="77"/>
      <c r="T23" s="77"/>
      <c r="U23" s="77"/>
      <c r="V23" s="77"/>
      <c r="W23" s="77"/>
      <c r="X23" s="77"/>
      <c r="Y23" s="77"/>
      <c r="Z23" s="77"/>
      <c r="AA23" s="77"/>
    </row>
    <row r="24" spans="1:27" ht="23.4" customHeight="1" thickBot="1" x14ac:dyDescent="0.5">
      <c r="A24" s="85" t="s">
        <v>52</v>
      </c>
      <c r="B24" s="86"/>
      <c r="C24" s="87">
        <f>SUM(C4:C17)</f>
        <v>36756</v>
      </c>
      <c r="D24" s="88" t="s">
        <v>114</v>
      </c>
      <c r="E24" s="89">
        <f>SUM(F24/C24)</f>
        <v>1224.2899118511264</v>
      </c>
      <c r="F24" s="90">
        <f>SUM(F3:F23)</f>
        <v>45000000</v>
      </c>
      <c r="G24" s="91"/>
      <c r="I24" s="17"/>
      <c r="J24" s="18"/>
      <c r="K24" s="18"/>
      <c r="L24" s="37">
        <f>SUM(L3:L23)</f>
        <v>160000</v>
      </c>
      <c r="M24" s="37"/>
      <c r="N24" s="37">
        <f>SUM(N3:N23)</f>
        <v>112000</v>
      </c>
      <c r="O24" s="77"/>
      <c r="P24" s="77"/>
      <c r="Q24" s="77"/>
      <c r="R24" s="77"/>
      <c r="S24" s="77"/>
      <c r="T24" s="77"/>
      <c r="U24" s="77"/>
      <c r="V24" s="77"/>
      <c r="W24" s="77"/>
      <c r="X24" s="77"/>
      <c r="Y24" s="77"/>
      <c r="Z24" s="77"/>
      <c r="AA24" s="77"/>
    </row>
    <row r="25" spans="1:27" ht="23.4" customHeight="1" thickBot="1" x14ac:dyDescent="0.5">
      <c r="A25" s="282" t="s">
        <v>53</v>
      </c>
      <c r="B25" s="282"/>
      <c r="C25" s="282"/>
      <c r="D25" s="282"/>
      <c r="E25" s="282"/>
      <c r="F25" s="282"/>
      <c r="G25" s="282"/>
      <c r="J25"/>
      <c r="K25"/>
      <c r="L25" s="81">
        <f>SUM(F24-L24)</f>
        <v>44840000</v>
      </c>
      <c r="M25" s="27">
        <f>SUM(L25/F24)</f>
        <v>0.99644444444444447</v>
      </c>
      <c r="N25" s="92">
        <f>SUM(L24-N24)</f>
        <v>48000</v>
      </c>
      <c r="O25" s="78">
        <f>SUM(N25/L24)</f>
        <v>0.3</v>
      </c>
      <c r="P25" s="70">
        <f>SUM(L25+N25)/F24</f>
        <v>0.99751111111111113</v>
      </c>
    </row>
    <row r="26" spans="1:27" ht="23.4" customHeight="1" x14ac:dyDescent="0.45">
      <c r="A26" s="71" t="s">
        <v>38</v>
      </c>
      <c r="B26" s="72" t="s">
        <v>39</v>
      </c>
      <c r="C26" s="72" t="s">
        <v>40</v>
      </c>
      <c r="D26" s="73" t="s">
        <v>41</v>
      </c>
      <c r="E26" s="73" t="s">
        <v>42</v>
      </c>
      <c r="F26" s="73" t="s">
        <v>43</v>
      </c>
      <c r="G26" s="74" t="s">
        <v>44</v>
      </c>
      <c r="I26" s="19"/>
      <c r="J26" s="23"/>
      <c r="K26" s="18"/>
      <c r="L26" s="18"/>
    </row>
    <row r="27" spans="1:27" ht="20.100000000000001" customHeight="1" x14ac:dyDescent="0.45">
      <c r="A27" s="75" t="s">
        <v>54</v>
      </c>
      <c r="B27" s="17"/>
      <c r="C27" s="17"/>
      <c r="D27" s="18"/>
      <c r="E27" s="18"/>
      <c r="F27" s="18"/>
      <c r="G27" s="76"/>
      <c r="I27" s="19"/>
      <c r="J27" s="23"/>
      <c r="K27" s="18"/>
      <c r="L27" s="26"/>
    </row>
    <row r="28" spans="1:27" ht="20.100000000000001" customHeight="1" x14ac:dyDescent="0.45">
      <c r="A28" s="82" t="s">
        <v>55</v>
      </c>
      <c r="B28" s="35"/>
      <c r="C28" s="36">
        <v>1</v>
      </c>
      <c r="D28" s="23" t="s">
        <v>56</v>
      </c>
      <c r="E28" s="18">
        <v>25200</v>
      </c>
      <c r="F28" s="18">
        <f>SUM(E28*C28)</f>
        <v>25200</v>
      </c>
      <c r="G28" s="76"/>
      <c r="I28" s="19"/>
      <c r="J28" s="23"/>
      <c r="K28" s="18"/>
      <c r="L28" s="38"/>
    </row>
    <row r="29" spans="1:27" ht="20.100000000000001" customHeight="1" x14ac:dyDescent="0.45">
      <c r="A29" s="82" t="s">
        <v>57</v>
      </c>
      <c r="B29" s="35"/>
      <c r="C29" s="36">
        <v>3</v>
      </c>
      <c r="D29" s="23" t="s">
        <v>56</v>
      </c>
      <c r="E29" s="18">
        <v>22100</v>
      </c>
      <c r="F29" s="18">
        <f>SUM(E29*C29)</f>
        <v>66300</v>
      </c>
      <c r="G29" s="76"/>
      <c r="I29" s="19"/>
      <c r="J29" s="23"/>
      <c r="K29" s="39"/>
      <c r="L29" s="26"/>
    </row>
    <row r="30" spans="1:27" ht="20.100000000000001" customHeight="1" x14ac:dyDescent="0.45">
      <c r="A30" s="82" t="s">
        <v>58</v>
      </c>
      <c r="B30" s="35"/>
      <c r="C30" s="36">
        <v>4</v>
      </c>
      <c r="D30" s="23" t="s">
        <v>56</v>
      </c>
      <c r="E30" s="18">
        <v>22700</v>
      </c>
      <c r="F30" s="18">
        <f>SUM(E30*C30)</f>
        <v>90800</v>
      </c>
      <c r="G30" s="76"/>
      <c r="I30" s="19"/>
      <c r="J30" s="23"/>
      <c r="K30" s="18"/>
      <c r="L30" s="18"/>
    </row>
    <row r="31" spans="1:27" ht="20.100000000000001" customHeight="1" x14ac:dyDescent="0.45">
      <c r="A31" s="82" t="s">
        <v>59</v>
      </c>
      <c r="B31" s="35"/>
      <c r="C31" s="36">
        <v>4</v>
      </c>
      <c r="D31" s="23" t="s">
        <v>56</v>
      </c>
      <c r="E31" s="18">
        <v>19200</v>
      </c>
      <c r="F31" s="18">
        <f>SUM(E31*C31)</f>
        <v>76800</v>
      </c>
      <c r="G31" s="76"/>
      <c r="I31" s="19"/>
      <c r="J31" s="23"/>
      <c r="K31" s="18"/>
      <c r="L31" s="18"/>
    </row>
    <row r="32" spans="1:27" ht="20.100000000000001" customHeight="1" x14ac:dyDescent="0.45">
      <c r="A32" s="82" t="s">
        <v>60</v>
      </c>
      <c r="B32" s="35"/>
      <c r="C32" s="36">
        <v>4</v>
      </c>
      <c r="D32" s="23" t="s">
        <v>56</v>
      </c>
      <c r="E32" s="18">
        <v>20300</v>
      </c>
      <c r="F32" s="18">
        <f>SUM(E32*C32)</f>
        <v>81200</v>
      </c>
      <c r="G32" s="76"/>
      <c r="I32" s="19"/>
      <c r="J32" s="23"/>
      <c r="K32" s="18"/>
      <c r="L32" s="37"/>
    </row>
    <row r="33" spans="1:12" ht="20.100000000000001" customHeight="1" x14ac:dyDescent="0.45">
      <c r="A33" s="82"/>
      <c r="B33" s="35"/>
      <c r="C33" s="36"/>
      <c r="D33" s="23"/>
      <c r="E33" s="18"/>
      <c r="F33" s="18"/>
      <c r="G33" s="76"/>
      <c r="I33" s="19"/>
      <c r="J33" s="23"/>
      <c r="K33" s="18"/>
      <c r="L33" s="18"/>
    </row>
    <row r="34" spans="1:12" ht="20.100000000000001" customHeight="1" x14ac:dyDescent="0.45">
      <c r="A34" s="75" t="s">
        <v>61</v>
      </c>
      <c r="B34" s="17"/>
      <c r="C34" s="36"/>
      <c r="D34" s="18"/>
      <c r="E34" s="18"/>
      <c r="F34" s="18"/>
      <c r="G34" s="76"/>
      <c r="I34" s="19"/>
      <c r="J34" s="23"/>
      <c r="K34" s="18"/>
      <c r="L34" s="18"/>
    </row>
    <row r="35" spans="1:12" ht="20.100000000000001" customHeight="1" x14ac:dyDescent="0.45">
      <c r="A35" s="82" t="s">
        <v>62</v>
      </c>
      <c r="B35" s="35" t="s">
        <v>63</v>
      </c>
      <c r="C35" s="36">
        <v>2</v>
      </c>
      <c r="D35" s="23" t="s">
        <v>64</v>
      </c>
      <c r="E35" s="18">
        <v>175000</v>
      </c>
      <c r="F35" s="18">
        <f>E35*C35</f>
        <v>350000</v>
      </c>
      <c r="G35" s="76"/>
      <c r="I35" s="19"/>
      <c r="J35" s="23"/>
      <c r="K35" s="18"/>
      <c r="L35" s="18"/>
    </row>
    <row r="36" spans="1:12" ht="20.100000000000001" customHeight="1" x14ac:dyDescent="0.45">
      <c r="A36" s="82" t="s">
        <v>65</v>
      </c>
      <c r="B36" s="35" t="s">
        <v>66</v>
      </c>
      <c r="C36" s="36">
        <v>1</v>
      </c>
      <c r="D36" s="23" t="s">
        <v>64</v>
      </c>
      <c r="E36" s="18">
        <v>190000</v>
      </c>
      <c r="F36" s="18">
        <f>E36*C36</f>
        <v>190000</v>
      </c>
      <c r="G36" s="76"/>
      <c r="I36" s="19"/>
      <c r="J36" s="23"/>
      <c r="K36" s="18"/>
      <c r="L36" s="18"/>
    </row>
    <row r="37" spans="1:12" ht="20.100000000000001" customHeight="1" x14ac:dyDescent="0.45">
      <c r="A37" s="82" t="s">
        <v>67</v>
      </c>
      <c r="B37" s="35" t="s">
        <v>68</v>
      </c>
      <c r="C37" s="36">
        <v>2</v>
      </c>
      <c r="D37" s="23" t="s">
        <v>64</v>
      </c>
      <c r="E37" s="18">
        <v>180000</v>
      </c>
      <c r="F37" s="18">
        <f>SUM(C37*E37)</f>
        <v>360000</v>
      </c>
      <c r="G37" s="76"/>
      <c r="I37" s="19"/>
      <c r="J37" s="23"/>
      <c r="K37" s="18"/>
      <c r="L37" s="18"/>
    </row>
    <row r="38" spans="1:12" ht="20.100000000000001" customHeight="1" x14ac:dyDescent="0.45">
      <c r="A38" s="82" t="s">
        <v>69</v>
      </c>
      <c r="B38" s="35" t="s">
        <v>70</v>
      </c>
      <c r="C38" s="36">
        <v>2</v>
      </c>
      <c r="D38" s="23" t="s">
        <v>64</v>
      </c>
      <c r="E38" s="40"/>
      <c r="F38" s="40"/>
      <c r="G38" s="76"/>
      <c r="I38" s="19"/>
      <c r="J38" s="23"/>
      <c r="K38" s="18"/>
      <c r="L38" s="18"/>
    </row>
    <row r="39" spans="1:12" ht="20.100000000000001" customHeight="1" x14ac:dyDescent="0.45">
      <c r="A39" s="82" t="s">
        <v>71</v>
      </c>
      <c r="B39" s="35"/>
      <c r="C39" s="36">
        <v>1</v>
      </c>
      <c r="D39" s="23" t="s">
        <v>64</v>
      </c>
      <c r="E39" s="18">
        <v>8600</v>
      </c>
      <c r="F39" s="18">
        <f t="shared" ref="F39:F44" si="0">E39*C39</f>
        <v>8600</v>
      </c>
      <c r="G39" s="76"/>
      <c r="I39" s="19"/>
      <c r="J39" s="23"/>
      <c r="K39" s="18"/>
      <c r="L39" s="18"/>
    </row>
    <row r="40" spans="1:12" ht="20.100000000000001" customHeight="1" x14ac:dyDescent="0.45">
      <c r="A40" s="82" t="s">
        <v>72</v>
      </c>
      <c r="B40" s="35"/>
      <c r="C40" s="36">
        <v>3</v>
      </c>
      <c r="D40" s="23" t="s">
        <v>64</v>
      </c>
      <c r="E40" s="18">
        <v>2800</v>
      </c>
      <c r="F40" s="18">
        <f t="shared" si="0"/>
        <v>8400</v>
      </c>
      <c r="G40" s="76"/>
      <c r="I40" s="19"/>
      <c r="J40" s="23"/>
      <c r="K40" s="18"/>
      <c r="L40" s="18"/>
    </row>
    <row r="41" spans="1:12" ht="20.100000000000001" customHeight="1" x14ac:dyDescent="0.45">
      <c r="A41" s="82" t="s">
        <v>73</v>
      </c>
      <c r="B41" s="35" t="s">
        <v>74</v>
      </c>
      <c r="C41" s="36">
        <v>1</v>
      </c>
      <c r="D41" s="23" t="s">
        <v>64</v>
      </c>
      <c r="E41" s="18">
        <v>10392</v>
      </c>
      <c r="F41" s="18">
        <f t="shared" si="0"/>
        <v>10392</v>
      </c>
      <c r="G41" s="76"/>
      <c r="I41" s="19"/>
      <c r="J41" s="23"/>
      <c r="K41" s="18"/>
      <c r="L41" s="18"/>
    </row>
    <row r="42" spans="1:12" ht="20.100000000000001" customHeight="1" x14ac:dyDescent="0.45">
      <c r="A42" s="82" t="s">
        <v>75</v>
      </c>
      <c r="B42" s="35" t="s">
        <v>76</v>
      </c>
      <c r="C42" s="36">
        <v>1</v>
      </c>
      <c r="D42" s="23" t="s">
        <v>64</v>
      </c>
      <c r="E42" s="18">
        <v>14664</v>
      </c>
      <c r="F42" s="18">
        <f t="shared" si="0"/>
        <v>14664</v>
      </c>
      <c r="G42" s="76"/>
      <c r="I42" s="17"/>
      <c r="J42" s="18"/>
      <c r="K42" s="18"/>
      <c r="L42" s="18"/>
    </row>
    <row r="43" spans="1:12" ht="20.100000000000001" customHeight="1" x14ac:dyDescent="0.45">
      <c r="A43" s="93" t="s">
        <v>77</v>
      </c>
      <c r="B43" s="35" t="s">
        <v>78</v>
      </c>
      <c r="C43" s="36">
        <v>1</v>
      </c>
      <c r="D43" s="23" t="s">
        <v>64</v>
      </c>
      <c r="E43" s="18">
        <v>13500</v>
      </c>
      <c r="F43" s="18">
        <f t="shared" si="0"/>
        <v>13500</v>
      </c>
      <c r="G43" s="76"/>
    </row>
    <row r="44" spans="1:12" ht="20.100000000000001" customHeight="1" x14ac:dyDescent="0.45">
      <c r="A44" s="93" t="s">
        <v>79</v>
      </c>
      <c r="B44" s="35" t="s">
        <v>80</v>
      </c>
      <c r="C44" s="36">
        <v>1</v>
      </c>
      <c r="D44" s="23" t="s">
        <v>64</v>
      </c>
      <c r="E44" s="18">
        <v>9700</v>
      </c>
      <c r="F44" s="18">
        <f t="shared" si="0"/>
        <v>9700</v>
      </c>
      <c r="G44" s="76"/>
    </row>
    <row r="45" spans="1:12" ht="20.100000000000001" customHeight="1" x14ac:dyDescent="0.45">
      <c r="A45" s="93"/>
      <c r="B45" s="35"/>
      <c r="C45" s="36"/>
      <c r="D45" s="23"/>
      <c r="E45" s="18"/>
      <c r="F45" s="18"/>
      <c r="G45" s="76"/>
    </row>
    <row r="46" spans="1:12" ht="20.100000000000001" customHeight="1" x14ac:dyDescent="0.45">
      <c r="A46" s="94" t="s">
        <v>81</v>
      </c>
      <c r="B46" s="35"/>
      <c r="C46" s="36"/>
      <c r="D46" s="23"/>
      <c r="E46" s="18"/>
      <c r="F46" s="18"/>
      <c r="G46" s="76"/>
    </row>
    <row r="47" spans="1:12" ht="20.100000000000001" customHeight="1" x14ac:dyDescent="0.45">
      <c r="A47" s="82" t="s">
        <v>82</v>
      </c>
      <c r="B47" s="35" t="s">
        <v>83</v>
      </c>
      <c r="C47" s="36">
        <v>10</v>
      </c>
      <c r="D47" s="23" t="s">
        <v>84</v>
      </c>
      <c r="E47" s="18">
        <v>450000</v>
      </c>
      <c r="F47" s="18">
        <f>E47*C47*0.025</f>
        <v>112500</v>
      </c>
      <c r="G47" s="76" t="s">
        <v>85</v>
      </c>
    </row>
    <row r="48" spans="1:12" ht="20.100000000000001" customHeight="1" x14ac:dyDescent="0.45">
      <c r="A48" s="82" t="s">
        <v>86</v>
      </c>
      <c r="B48" s="35" t="s">
        <v>87</v>
      </c>
      <c r="C48" s="36">
        <v>1</v>
      </c>
      <c r="D48" s="23" t="s">
        <v>88</v>
      </c>
      <c r="E48" s="18">
        <v>50000</v>
      </c>
      <c r="F48" s="18">
        <f>E48*C48*0.25</f>
        <v>12500</v>
      </c>
      <c r="G48" s="76" t="s">
        <v>89</v>
      </c>
    </row>
    <row r="49" spans="1:7" ht="20.100000000000001" customHeight="1" x14ac:dyDescent="0.45">
      <c r="A49" s="82" t="s">
        <v>90</v>
      </c>
      <c r="B49" s="35" t="s">
        <v>91</v>
      </c>
      <c r="C49" s="36">
        <v>1</v>
      </c>
      <c r="D49" s="23" t="s">
        <v>31</v>
      </c>
      <c r="E49" s="18">
        <v>25000</v>
      </c>
      <c r="F49" s="18">
        <f>E49*C49</f>
        <v>25000</v>
      </c>
      <c r="G49" s="76"/>
    </row>
    <row r="50" spans="1:7" ht="20.100000000000001" customHeight="1" x14ac:dyDescent="0.45">
      <c r="A50" s="93" t="s">
        <v>50</v>
      </c>
      <c r="B50" s="35"/>
      <c r="C50" s="36">
        <v>1</v>
      </c>
      <c r="D50" s="23" t="s">
        <v>31</v>
      </c>
      <c r="E50" s="18">
        <v>-5556</v>
      </c>
      <c r="F50" s="18">
        <f>E50*C50</f>
        <v>-5556</v>
      </c>
      <c r="G50" s="76"/>
    </row>
    <row r="51" spans="1:7" ht="20.100000000000001" customHeight="1" x14ac:dyDescent="0.45">
      <c r="A51" s="82" t="s">
        <v>92</v>
      </c>
      <c r="B51" s="35"/>
      <c r="C51" s="36"/>
      <c r="D51" s="23"/>
      <c r="E51" s="18"/>
      <c r="F51" s="37">
        <f>SUM(F27:F50)</f>
        <v>1450000</v>
      </c>
      <c r="G51" s="76"/>
    </row>
    <row r="52" spans="1:7" ht="18.600000000000001" thickBot="1" x14ac:dyDescent="0.5">
      <c r="A52" s="95" t="s">
        <v>93</v>
      </c>
      <c r="B52" s="96"/>
      <c r="C52" s="87">
        <v>0.7</v>
      </c>
      <c r="D52" s="88" t="s">
        <v>94</v>
      </c>
      <c r="E52" s="90">
        <f>SUM(F51)</f>
        <v>1450000</v>
      </c>
      <c r="F52" s="97">
        <f>SUM(C52*E52)</f>
        <v>1014999.9999999999</v>
      </c>
      <c r="G52" s="91"/>
    </row>
  </sheetData>
  <mergeCells count="5">
    <mergeCell ref="A25:G25"/>
    <mergeCell ref="A1:G1"/>
    <mergeCell ref="I1:J1"/>
    <mergeCell ref="K1:L1"/>
    <mergeCell ref="G22:G23"/>
  </mergeCells>
  <phoneticPr fontId="3"/>
  <printOptions horizontalCentered="1" verticalCentered="1"/>
  <pageMargins left="0.23622047244094491" right="0.23622047244094491" top="0.74803149606299213" bottom="0.74803149606299213" header="0.31496062992125984" footer="0.31496062992125984"/>
  <pageSetup paperSize="9" scale="84" orientation="landscape" r:id="rId1"/>
  <headerFooter alignWithMargins="0">
    <oddHeader>&amp;R&amp;P / &amp;N ページ</oddHeader>
    <oddFooter>&amp;R株式会社 サンユウテック</oddFooter>
  </headerFooter>
  <rowBreaks count="1" manualBreakCount="1">
    <brk id="24"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B501E-1034-458C-9DBD-07CAF6B14AE1}">
  <sheetPr codeName="Sheet6">
    <pageSetUpPr fitToPage="1"/>
  </sheetPr>
  <dimension ref="A1:K46"/>
  <sheetViews>
    <sheetView tabSelected="1" view="pageBreakPreview" topLeftCell="A7" zoomScale="85" zoomScaleNormal="100" zoomScaleSheetLayoutView="85" workbookViewId="0">
      <selection activeCell="B7" sqref="F7:AF7"/>
    </sheetView>
  </sheetViews>
  <sheetFormatPr defaultRowHeight="18" x14ac:dyDescent="0.45"/>
  <cols>
    <col min="1" max="1" width="3" style="49" customWidth="1"/>
    <col min="2" max="2" width="31.3984375" customWidth="1"/>
    <col min="3" max="3" width="12.5" customWidth="1"/>
    <col min="4" max="4" width="12" style="28" customWidth="1"/>
    <col min="5" max="6" width="15.8984375" style="28" customWidth="1"/>
    <col min="7" max="8" width="47.69921875" customWidth="1"/>
    <col min="9" max="9" width="12" style="28" customWidth="1"/>
    <col min="10" max="11" width="15.8984375" style="28" customWidth="1"/>
  </cols>
  <sheetData>
    <row r="1" spans="1:11" ht="42" customHeight="1" thickTop="1" thickBot="1" x14ac:dyDescent="0.5">
      <c r="A1" s="276" t="s">
        <v>237</v>
      </c>
      <c r="B1" s="277"/>
      <c r="C1" s="277"/>
      <c r="D1" s="277"/>
      <c r="E1" s="277"/>
      <c r="F1" s="277"/>
      <c r="G1" s="278"/>
      <c r="H1" s="133"/>
      <c r="I1" s="102"/>
      <c r="J1" s="259"/>
      <c r="K1" s="260"/>
    </row>
    <row r="2" spans="1:11" ht="23.1" customHeight="1" thickTop="1" x14ac:dyDescent="0.45">
      <c r="A2" s="54"/>
      <c r="B2" s="267" t="s">
        <v>121</v>
      </c>
      <c r="C2" s="267"/>
      <c r="D2" s="267"/>
      <c r="E2" s="267"/>
      <c r="F2" s="267"/>
      <c r="G2" s="268"/>
      <c r="H2" s="103"/>
      <c r="I2" s="15" t="s">
        <v>41</v>
      </c>
      <c r="J2" s="15" t="s">
        <v>42</v>
      </c>
      <c r="K2" s="15" t="s">
        <v>43</v>
      </c>
    </row>
    <row r="3" spans="1:11" ht="23.1" customHeight="1" x14ac:dyDescent="0.45">
      <c r="A3" s="54">
        <v>2</v>
      </c>
      <c r="B3" s="267" t="s">
        <v>95</v>
      </c>
      <c r="C3" s="267"/>
      <c r="D3" s="267"/>
      <c r="E3" s="267"/>
      <c r="F3" s="267"/>
      <c r="G3" s="268"/>
      <c r="H3" s="103"/>
      <c r="I3" s="18"/>
      <c r="J3" s="18"/>
      <c r="K3" s="18"/>
    </row>
    <row r="4" spans="1:11" ht="23.1" customHeight="1" x14ac:dyDescent="0.45">
      <c r="A4" s="55">
        <v>3</v>
      </c>
      <c r="B4" s="267" t="s">
        <v>96</v>
      </c>
      <c r="C4" s="267"/>
      <c r="D4" s="267"/>
      <c r="E4" s="267"/>
      <c r="F4" s="267"/>
      <c r="G4" s="268"/>
      <c r="H4" s="103"/>
      <c r="I4" s="23"/>
      <c r="J4" s="24"/>
      <c r="K4" s="18" t="e">
        <f>SUM(#REF!*J4)</f>
        <v>#REF!</v>
      </c>
    </row>
    <row r="5" spans="1:11" ht="23.1" customHeight="1" x14ac:dyDescent="0.45">
      <c r="A5" s="54">
        <v>4</v>
      </c>
      <c r="B5" s="271" t="s">
        <v>99</v>
      </c>
      <c r="C5" s="271"/>
      <c r="D5" s="271"/>
      <c r="E5" s="271"/>
      <c r="F5" s="271"/>
      <c r="G5" s="272"/>
      <c r="H5" s="106"/>
      <c r="I5" s="23"/>
      <c r="J5" s="24"/>
      <c r="K5" s="18"/>
    </row>
    <row r="6" spans="1:11" ht="23.1" customHeight="1" x14ac:dyDescent="0.45">
      <c r="A6" s="56">
        <v>5</v>
      </c>
      <c r="B6" s="271" t="s">
        <v>100</v>
      </c>
      <c r="C6" s="271"/>
      <c r="D6" s="271"/>
      <c r="E6" s="271"/>
      <c r="F6" s="271"/>
      <c r="G6" s="272"/>
      <c r="H6" s="106"/>
      <c r="I6" s="23"/>
      <c r="J6" s="24"/>
      <c r="K6" s="18" t="e">
        <f>SUM(#REF!*J6)</f>
        <v>#REF!</v>
      </c>
    </row>
    <row r="7" spans="1:11" ht="23.1" customHeight="1" x14ac:dyDescent="0.45">
      <c r="A7" s="54">
        <v>6</v>
      </c>
      <c r="B7" s="269" t="s">
        <v>98</v>
      </c>
      <c r="C7" s="269"/>
      <c r="D7" s="269"/>
      <c r="E7" s="269"/>
      <c r="F7" s="269"/>
      <c r="G7" s="270"/>
      <c r="H7" s="105"/>
      <c r="I7" s="23"/>
      <c r="J7" s="24"/>
      <c r="K7" s="18"/>
    </row>
    <row r="8" spans="1:11" ht="23.1" customHeight="1" x14ac:dyDescent="0.45">
      <c r="A8" s="54">
        <v>7</v>
      </c>
      <c r="B8" s="271" t="s">
        <v>99</v>
      </c>
      <c r="C8" s="271"/>
      <c r="D8" s="271"/>
      <c r="E8" s="271"/>
      <c r="F8" s="271"/>
      <c r="G8" s="272"/>
      <c r="H8" s="134"/>
      <c r="I8" s="43"/>
      <c r="J8" s="24"/>
      <c r="K8" s="18" t="e">
        <f>SUM(#REF!*J8)</f>
        <v>#REF!</v>
      </c>
    </row>
    <row r="9" spans="1:11" ht="23.1" customHeight="1" x14ac:dyDescent="0.45">
      <c r="A9" s="54">
        <v>8</v>
      </c>
      <c r="B9" s="273" t="s">
        <v>123</v>
      </c>
      <c r="C9" s="273"/>
      <c r="D9" s="273"/>
      <c r="E9" s="273"/>
      <c r="F9" s="273"/>
      <c r="G9" s="274"/>
      <c r="H9" s="107"/>
      <c r="I9" s="23"/>
      <c r="J9" s="24"/>
      <c r="K9" s="26"/>
    </row>
    <row r="10" spans="1:11" ht="23.1" customHeight="1" x14ac:dyDescent="0.45">
      <c r="A10" s="54">
        <v>9</v>
      </c>
      <c r="B10" s="273" t="s">
        <v>122</v>
      </c>
      <c r="C10" s="273"/>
      <c r="D10" s="273"/>
      <c r="E10" s="273"/>
      <c r="F10" s="273"/>
      <c r="G10" s="274"/>
      <c r="H10" s="135"/>
      <c r="I10" s="43"/>
      <c r="J10" s="24"/>
      <c r="K10" s="18" t="e">
        <f>SUM(#REF!*J10)</f>
        <v>#REF!</v>
      </c>
    </row>
    <row r="11" spans="1:11" ht="23.1" customHeight="1" x14ac:dyDescent="0.45">
      <c r="A11" s="54">
        <v>10</v>
      </c>
      <c r="B11" s="289" t="s">
        <v>223</v>
      </c>
      <c r="C11" s="289"/>
      <c r="D11" s="289"/>
      <c r="E11" s="289"/>
      <c r="F11" s="289"/>
      <c r="G11" s="290"/>
      <c r="H11" s="108"/>
      <c r="I11" s="23"/>
      <c r="J11" s="24"/>
      <c r="K11" s="26"/>
    </row>
    <row r="12" spans="1:11" ht="23.1" customHeight="1" x14ac:dyDescent="0.45">
      <c r="A12" s="56">
        <v>11</v>
      </c>
      <c r="B12" s="273" t="s">
        <v>224</v>
      </c>
      <c r="C12" s="273"/>
      <c r="D12" s="273"/>
      <c r="E12" s="273"/>
      <c r="F12" s="273"/>
      <c r="G12" s="274"/>
      <c r="H12" s="107"/>
      <c r="I12" s="23"/>
      <c r="J12" s="24"/>
      <c r="K12" s="18" t="e">
        <f>SUM(#REF!*J12)</f>
        <v>#REF!</v>
      </c>
    </row>
    <row r="13" spans="1:11" ht="23.1" customHeight="1" x14ac:dyDescent="0.45">
      <c r="A13" s="54">
        <v>12</v>
      </c>
      <c r="B13" s="273" t="s">
        <v>225</v>
      </c>
      <c r="C13" s="273"/>
      <c r="D13" s="273"/>
      <c r="E13" s="273"/>
      <c r="F13" s="273"/>
      <c r="G13" s="274"/>
      <c r="H13" s="107"/>
      <c r="I13" s="23"/>
      <c r="J13" s="24"/>
      <c r="K13" s="18"/>
    </row>
    <row r="14" spans="1:11" ht="23.1" customHeight="1" x14ac:dyDescent="0.45">
      <c r="A14" s="54">
        <v>13</v>
      </c>
      <c r="B14" s="273" t="s">
        <v>226</v>
      </c>
      <c r="C14" s="273"/>
      <c r="D14" s="273"/>
      <c r="E14" s="273"/>
      <c r="F14" s="273"/>
      <c r="G14" s="274"/>
      <c r="H14" s="107"/>
      <c r="I14" s="23"/>
      <c r="J14" s="24"/>
      <c r="K14" s="18"/>
    </row>
    <row r="15" spans="1:11" ht="23.1" customHeight="1" x14ac:dyDescent="0.45">
      <c r="A15" s="54">
        <v>14</v>
      </c>
      <c r="B15" s="273" t="s">
        <v>227</v>
      </c>
      <c r="C15" s="273"/>
      <c r="D15" s="273"/>
      <c r="E15" s="273"/>
      <c r="F15" s="273"/>
      <c r="G15" s="274"/>
      <c r="H15" s="107"/>
      <c r="I15" s="23"/>
      <c r="J15" s="24"/>
      <c r="K15" s="18"/>
    </row>
    <row r="16" spans="1:11" ht="23.1" customHeight="1" x14ac:dyDescent="0.45">
      <c r="A16" s="57">
        <v>15</v>
      </c>
      <c r="B16" s="273" t="s">
        <v>228</v>
      </c>
      <c r="C16" s="273"/>
      <c r="D16" s="273"/>
      <c r="E16" s="273"/>
      <c r="F16" s="273"/>
      <c r="G16" s="274"/>
      <c r="H16" s="107"/>
      <c r="I16" s="23"/>
      <c r="J16" s="24"/>
      <c r="K16" s="18"/>
    </row>
    <row r="17" spans="1:11" ht="23.1" customHeight="1" x14ac:dyDescent="0.45">
      <c r="A17" s="57">
        <v>16</v>
      </c>
      <c r="B17" s="273" t="s">
        <v>251</v>
      </c>
      <c r="C17" s="273"/>
      <c r="D17" s="273"/>
      <c r="E17" s="273"/>
      <c r="F17" s="273"/>
      <c r="G17" s="274"/>
      <c r="H17" s="104"/>
      <c r="I17" s="33"/>
      <c r="J17" s="34"/>
      <c r="K17" s="34"/>
    </row>
    <row r="18" spans="1:11" ht="23.1" customHeight="1" x14ac:dyDescent="0.45">
      <c r="A18" s="57"/>
      <c r="B18" s="265"/>
      <c r="C18" s="265"/>
      <c r="D18" s="265"/>
      <c r="E18" s="265"/>
      <c r="F18" s="265"/>
      <c r="G18" s="266"/>
      <c r="H18" s="104"/>
      <c r="I18" s="23"/>
      <c r="J18" s="18"/>
      <c r="K18" s="18"/>
    </row>
    <row r="19" spans="1:11" ht="23.1" customHeight="1" x14ac:dyDescent="0.45">
      <c r="A19" s="57"/>
      <c r="B19" s="265"/>
      <c r="C19" s="265"/>
      <c r="D19" s="265"/>
      <c r="E19" s="265"/>
      <c r="F19" s="265"/>
      <c r="G19" s="266"/>
      <c r="H19" s="104"/>
      <c r="I19" s="23"/>
      <c r="J19" s="18"/>
      <c r="K19" s="18"/>
    </row>
    <row r="20" spans="1:11" ht="23.1" customHeight="1" x14ac:dyDescent="0.45">
      <c r="A20" s="57"/>
      <c r="B20" s="265"/>
      <c r="C20" s="265"/>
      <c r="D20" s="265"/>
      <c r="E20" s="265"/>
      <c r="F20" s="265"/>
      <c r="G20" s="266"/>
      <c r="H20" s="104"/>
      <c r="I20" s="23"/>
      <c r="J20" s="18"/>
      <c r="K20" s="18"/>
    </row>
    <row r="21" spans="1:11" ht="23.1" customHeight="1" x14ac:dyDescent="0.45">
      <c r="A21" s="57"/>
      <c r="B21" s="265"/>
      <c r="C21" s="265"/>
      <c r="D21" s="265"/>
      <c r="E21" s="265"/>
      <c r="F21" s="265"/>
      <c r="G21" s="266"/>
      <c r="H21" s="104"/>
      <c r="I21" s="18"/>
      <c r="J21" s="18"/>
      <c r="K21" s="18"/>
    </row>
    <row r="22" spans="1:11" ht="23.1" customHeight="1" x14ac:dyDescent="0.45">
      <c r="A22" s="57"/>
      <c r="B22" s="265"/>
      <c r="C22" s="265"/>
      <c r="D22" s="265"/>
      <c r="E22" s="265"/>
      <c r="F22" s="265"/>
      <c r="G22" s="266"/>
      <c r="H22" s="104"/>
      <c r="I22" s="18"/>
      <c r="J22" s="18"/>
      <c r="K22" s="18"/>
    </row>
    <row r="23" spans="1:11" ht="23.4" customHeight="1" x14ac:dyDescent="0.45">
      <c r="A23" s="58"/>
      <c r="B23" s="263"/>
      <c r="C23" s="263"/>
      <c r="D23" s="263"/>
      <c r="E23" s="263"/>
      <c r="F23" s="263"/>
      <c r="G23" s="264"/>
      <c r="H23" s="109"/>
      <c r="I23" s="18"/>
      <c r="J23" s="18"/>
      <c r="K23" s="37" t="e">
        <f>SUM(K3:K20)</f>
        <v>#REF!</v>
      </c>
    </row>
    <row r="24" spans="1:11" x14ac:dyDescent="0.45">
      <c r="I24"/>
      <c r="J24"/>
      <c r="K24"/>
    </row>
    <row r="25" spans="1:11" ht="23.1" customHeight="1" x14ac:dyDescent="0.45">
      <c r="I25" s="15" t="s">
        <v>26</v>
      </c>
      <c r="J25" s="15" t="s">
        <v>42</v>
      </c>
      <c r="K25" s="15" t="s">
        <v>43</v>
      </c>
    </row>
    <row r="26" spans="1:11" ht="23.4" customHeight="1" x14ac:dyDescent="0.45">
      <c r="I26" s="18"/>
      <c r="J26" s="18"/>
      <c r="K26" s="18"/>
    </row>
    <row r="27" spans="1:11" ht="23.4" customHeight="1" x14ac:dyDescent="0.45">
      <c r="I27" s="23"/>
      <c r="J27" s="18"/>
      <c r="K27" s="18"/>
    </row>
    <row r="28" spans="1:11" ht="23.4" customHeight="1" x14ac:dyDescent="0.45">
      <c r="I28" s="23"/>
      <c r="J28" s="18"/>
      <c r="K28" s="18"/>
    </row>
    <row r="29" spans="1:11" ht="23.4" customHeight="1" x14ac:dyDescent="0.45">
      <c r="I29" s="23"/>
      <c r="J29" s="18"/>
      <c r="K29" s="18"/>
    </row>
    <row r="30" spans="1:11" ht="23.4" customHeight="1" x14ac:dyDescent="0.45">
      <c r="I30" s="23"/>
      <c r="J30" s="18"/>
      <c r="K30" s="50"/>
    </row>
    <row r="31" spans="1:11" ht="23.4" customHeight="1" x14ac:dyDescent="0.45">
      <c r="I31" s="23"/>
      <c r="J31" s="18"/>
      <c r="K31" s="18"/>
    </row>
    <row r="32" spans="1:11" ht="23.4" customHeight="1" x14ac:dyDescent="0.45">
      <c r="I32" s="23"/>
      <c r="J32" s="18"/>
      <c r="K32" s="18"/>
    </row>
    <row r="33" spans="9:11" ht="23.4" customHeight="1" x14ac:dyDescent="0.45">
      <c r="I33" s="23"/>
      <c r="J33" s="18"/>
      <c r="K33" s="18"/>
    </row>
    <row r="34" spans="9:11" ht="23.4" customHeight="1" x14ac:dyDescent="0.45">
      <c r="I34" s="23"/>
      <c r="J34" s="18"/>
      <c r="K34" s="26"/>
    </row>
    <row r="35" spans="9:11" ht="23.4" customHeight="1" x14ac:dyDescent="0.45">
      <c r="I35" s="23"/>
      <c r="J35" s="18"/>
      <c r="K35" s="38"/>
    </row>
    <row r="36" spans="9:11" ht="23.4" customHeight="1" x14ac:dyDescent="0.45">
      <c r="I36" s="23"/>
      <c r="J36" s="39"/>
      <c r="K36" s="26"/>
    </row>
    <row r="37" spans="9:11" ht="23.4" customHeight="1" x14ac:dyDescent="0.45">
      <c r="I37" s="23"/>
      <c r="J37" s="18"/>
      <c r="K37" s="18"/>
    </row>
    <row r="38" spans="9:11" ht="23.4" customHeight="1" x14ac:dyDescent="0.45">
      <c r="I38" s="23"/>
      <c r="J38" s="18"/>
      <c r="K38" s="18"/>
    </row>
    <row r="39" spans="9:11" ht="23.4" customHeight="1" x14ac:dyDescent="0.45">
      <c r="I39" s="23"/>
      <c r="J39" s="18"/>
      <c r="K39" s="37"/>
    </row>
    <row r="40" spans="9:11" ht="23.4" customHeight="1" x14ac:dyDescent="0.45">
      <c r="I40" s="23"/>
      <c r="J40" s="18"/>
      <c r="K40" s="18"/>
    </row>
    <row r="41" spans="9:11" ht="23.4" customHeight="1" x14ac:dyDescent="0.45">
      <c r="I41" s="23"/>
      <c r="J41" s="18"/>
      <c r="K41" s="18"/>
    </row>
    <row r="42" spans="9:11" ht="23.4" customHeight="1" x14ac:dyDescent="0.45">
      <c r="I42" s="23"/>
      <c r="J42" s="18"/>
      <c r="K42" s="18"/>
    </row>
    <row r="43" spans="9:11" ht="23.4" customHeight="1" x14ac:dyDescent="0.45">
      <c r="I43" s="23"/>
      <c r="J43" s="18"/>
      <c r="K43" s="18"/>
    </row>
    <row r="44" spans="9:11" ht="23.4" customHeight="1" x14ac:dyDescent="0.45">
      <c r="I44" s="23"/>
      <c r="J44" s="18"/>
      <c r="K44" s="18"/>
    </row>
    <row r="45" spans="9:11" ht="23.4" customHeight="1" x14ac:dyDescent="0.45">
      <c r="I45" s="18"/>
      <c r="J45" s="18"/>
      <c r="K45" s="18"/>
    </row>
    <row r="46" spans="9:11" ht="23.4" customHeight="1" x14ac:dyDescent="0.45">
      <c r="I46" s="18"/>
      <c r="J46" s="18"/>
      <c r="K46" s="37" t="e">
        <f>K23+K39</f>
        <v>#REF!</v>
      </c>
    </row>
  </sheetData>
  <mergeCells count="24">
    <mergeCell ref="B4:G4"/>
    <mergeCell ref="A1:G1"/>
    <mergeCell ref="J1:K1"/>
    <mergeCell ref="B2:G2"/>
    <mergeCell ref="B3:G3"/>
    <mergeCell ref="B16:G16"/>
    <mergeCell ref="B5:G5"/>
    <mergeCell ref="B6:G6"/>
    <mergeCell ref="B7:G7"/>
    <mergeCell ref="B8:G8"/>
    <mergeCell ref="B9:G9"/>
    <mergeCell ref="B10:G10"/>
    <mergeCell ref="B12:G12"/>
    <mergeCell ref="B13:G13"/>
    <mergeCell ref="B14:G14"/>
    <mergeCell ref="B15:G15"/>
    <mergeCell ref="B11:G11"/>
    <mergeCell ref="B23:G23"/>
    <mergeCell ref="B17:G17"/>
    <mergeCell ref="B18:G18"/>
    <mergeCell ref="B19:G19"/>
    <mergeCell ref="B20:G20"/>
    <mergeCell ref="B21:G21"/>
    <mergeCell ref="B22:G22"/>
  </mergeCells>
  <phoneticPr fontId="3"/>
  <printOptions horizontalCentered="1" verticalCentered="1"/>
  <pageMargins left="0.23622047244094491" right="0.23622047244094491" top="0.74803149606299213" bottom="0.74803149606299213" header="0.31496062992125984" footer="0.31496062992125984"/>
  <pageSetup paperSize="9" scale="86" orientation="landscape" r:id="rId1"/>
  <headerFooter alignWithMargins="0">
    <oddHeader>&amp;R&amp;P / &amp;N ページ</oddHeader>
    <oddFooter>&amp;R株式会社 サンユウテック</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2ED3-0477-4495-BA59-4F6E00B7853E}">
  <sheetPr>
    <pageSetUpPr fitToPage="1"/>
  </sheetPr>
  <dimension ref="A1:AF52"/>
  <sheetViews>
    <sheetView tabSelected="1" view="pageBreakPreview" topLeftCell="A16" zoomScale="90" zoomScaleNormal="100" zoomScaleSheetLayoutView="90" workbookViewId="0">
      <selection activeCell="B7" sqref="F7:AF7"/>
    </sheetView>
  </sheetViews>
  <sheetFormatPr defaultRowHeight="18" x14ac:dyDescent="0.45"/>
  <cols>
    <col min="1" max="1" width="29.09765625" customWidth="1"/>
    <col min="2" max="2" width="31.3984375" customWidth="1"/>
    <col min="3" max="3" width="12.5" customWidth="1"/>
    <col min="4" max="4" width="12" style="28" customWidth="1"/>
    <col min="5" max="6" width="15.8984375" style="28" customWidth="1"/>
    <col min="7" max="7" width="20.3984375" customWidth="1"/>
    <col min="8" max="8" width="4.69921875" customWidth="1"/>
    <col min="9" max="9" width="12.5" customWidth="1"/>
    <col min="10" max="10" width="12" style="28" customWidth="1"/>
    <col min="11" max="12" width="15.8984375" style="28" customWidth="1"/>
    <col min="13" max="13" width="11.8984375" bestFit="1" customWidth="1"/>
    <col min="14" max="14" width="10.5" style="70" bestFit="1" customWidth="1"/>
    <col min="15" max="18" width="8.796875" style="70"/>
    <col min="19" max="19" width="10.5" style="70" bestFit="1" customWidth="1"/>
    <col min="20" max="20" width="8.796875" style="70"/>
    <col min="21" max="21" width="9.5" style="70" bestFit="1" customWidth="1"/>
    <col min="22" max="31" width="8.796875" style="70"/>
  </cols>
  <sheetData>
    <row r="1" spans="1:32" ht="23.4" customHeight="1" thickTop="1" thickBot="1" x14ac:dyDescent="0.5">
      <c r="A1" s="258" t="s">
        <v>101</v>
      </c>
      <c r="B1" s="258"/>
      <c r="C1" s="258"/>
      <c r="D1" s="258"/>
      <c r="E1" s="258"/>
      <c r="F1" s="258"/>
      <c r="G1" s="258"/>
      <c r="I1" s="259" t="s">
        <v>37</v>
      </c>
      <c r="J1" s="260"/>
      <c r="K1" s="259"/>
      <c r="L1" s="260"/>
    </row>
    <row r="2" spans="1:32" ht="23.4" customHeight="1" thickTop="1" x14ac:dyDescent="0.45">
      <c r="A2" s="129"/>
      <c r="B2" s="130" t="s">
        <v>39</v>
      </c>
      <c r="C2" s="130" t="s">
        <v>40</v>
      </c>
      <c r="D2" s="131" t="s">
        <v>41</v>
      </c>
      <c r="E2" s="131" t="s">
        <v>42</v>
      </c>
      <c r="F2" s="131" t="s">
        <v>43</v>
      </c>
      <c r="G2" s="132" t="s">
        <v>44</v>
      </c>
      <c r="I2" s="14" t="s">
        <v>40</v>
      </c>
      <c r="J2" s="15" t="s">
        <v>41</v>
      </c>
      <c r="K2" s="15" t="s">
        <v>42</v>
      </c>
      <c r="L2" s="15" t="s">
        <v>43</v>
      </c>
    </row>
    <row r="3" spans="1:32" ht="23.4" customHeight="1" x14ac:dyDescent="0.45">
      <c r="A3" s="75"/>
      <c r="B3" s="17"/>
      <c r="C3" s="17"/>
      <c r="D3" s="18"/>
      <c r="E3" s="18"/>
      <c r="F3" s="18"/>
      <c r="G3" s="76"/>
      <c r="I3" s="19"/>
      <c r="J3" s="18"/>
      <c r="K3" s="18"/>
      <c r="L3" s="18"/>
      <c r="N3" s="77"/>
      <c r="O3" s="77"/>
      <c r="P3" s="77"/>
      <c r="Q3" s="77"/>
      <c r="R3" s="77"/>
      <c r="S3" s="78"/>
      <c r="T3" s="78"/>
      <c r="U3" s="77"/>
      <c r="V3" s="77"/>
      <c r="W3" s="77"/>
      <c r="X3" s="77"/>
      <c r="Y3" s="77"/>
      <c r="Z3" s="77"/>
      <c r="AA3" s="77"/>
      <c r="AB3" s="77"/>
      <c r="AC3" s="77"/>
      <c r="AD3" s="77"/>
      <c r="AE3" s="77"/>
      <c r="AF3" s="28"/>
    </row>
    <row r="4" spans="1:32" ht="23.4" customHeight="1" x14ac:dyDescent="0.45">
      <c r="A4" s="65" t="s">
        <v>265</v>
      </c>
      <c r="B4" s="21" t="s">
        <v>268</v>
      </c>
      <c r="C4" s="22">
        <v>655.5</v>
      </c>
      <c r="D4" s="23" t="s">
        <v>254</v>
      </c>
      <c r="E4" s="24">
        <v>2500</v>
      </c>
      <c r="F4" s="24">
        <f t="shared" ref="F4" si="0">SUM(C4*E4)</f>
        <v>1638750</v>
      </c>
      <c r="G4" s="100" t="s">
        <v>271</v>
      </c>
      <c r="I4" s="114">
        <f>SUM(C4)</f>
        <v>655.5</v>
      </c>
      <c r="J4" s="23"/>
      <c r="K4" s="23">
        <f>SUM(E4*0.75)</f>
        <v>1875</v>
      </c>
      <c r="L4" s="18">
        <f>SUM(I4*K4)</f>
        <v>1229062.5</v>
      </c>
      <c r="M4" s="92">
        <f>SUM(F4-L4)</f>
        <v>409687.5</v>
      </c>
      <c r="N4" s="78">
        <f>SUM(M4/F4)</f>
        <v>0.25</v>
      </c>
    </row>
    <row r="5" spans="1:32" ht="23.4" customHeight="1" x14ac:dyDescent="0.45">
      <c r="A5" s="65"/>
      <c r="B5" s="113"/>
      <c r="C5" s="19"/>
      <c r="D5" s="23"/>
      <c r="E5" s="24"/>
      <c r="F5" s="24"/>
      <c r="G5" s="80"/>
      <c r="I5" s="114">
        <f t="shared" ref="I5:I7" si="1">SUM(C5)</f>
        <v>0</v>
      </c>
      <c r="J5" s="23"/>
      <c r="K5" s="23">
        <f>SUM(E5*0.75)</f>
        <v>0</v>
      </c>
      <c r="L5" s="18">
        <f t="shared" ref="L5:L7" si="2">SUM(I5*K5)</f>
        <v>0</v>
      </c>
      <c r="M5" s="92">
        <f t="shared" ref="M5:M7" si="3">SUM(F5-L5)</f>
        <v>0</v>
      </c>
      <c r="N5" s="78" t="e">
        <f t="shared" ref="N5:N7" si="4">SUM(M5/F5)</f>
        <v>#DIV/0!</v>
      </c>
      <c r="O5" s="77"/>
      <c r="P5" s="77"/>
      <c r="Q5" s="77"/>
      <c r="R5" s="77"/>
      <c r="S5" s="77"/>
      <c r="T5" s="77"/>
      <c r="U5" s="77"/>
      <c r="V5" s="77"/>
      <c r="W5" s="78"/>
      <c r="X5" s="77"/>
      <c r="Y5" s="77"/>
      <c r="Z5" s="78"/>
      <c r="AA5" s="77"/>
    </row>
    <row r="6" spans="1:32" ht="23.4" customHeight="1" x14ac:dyDescent="0.45">
      <c r="A6" s="65"/>
      <c r="B6" s="113"/>
      <c r="C6" s="25"/>
      <c r="D6" s="23"/>
      <c r="E6" s="24"/>
      <c r="F6" s="24"/>
      <c r="G6" s="80"/>
      <c r="I6" s="114">
        <f t="shared" si="1"/>
        <v>0</v>
      </c>
      <c r="J6" s="23"/>
      <c r="K6" s="23">
        <f>SUM(E6*0.75)</f>
        <v>0</v>
      </c>
      <c r="L6" s="18">
        <f t="shared" si="2"/>
        <v>0</v>
      </c>
      <c r="M6" s="92">
        <f t="shared" si="3"/>
        <v>0</v>
      </c>
      <c r="N6" s="78" t="e">
        <f t="shared" si="4"/>
        <v>#DIV/0!</v>
      </c>
      <c r="O6" s="77"/>
      <c r="P6" s="77"/>
      <c r="Q6" s="77"/>
      <c r="R6" s="77"/>
      <c r="S6" s="77"/>
      <c r="T6" s="77"/>
      <c r="U6" s="77"/>
      <c r="V6" s="77"/>
      <c r="W6" s="77"/>
      <c r="X6" s="77"/>
      <c r="Y6" s="77"/>
      <c r="Z6" s="77"/>
      <c r="AA6" s="77"/>
    </row>
    <row r="7" spans="1:32" ht="23.4" customHeight="1" x14ac:dyDescent="0.45">
      <c r="A7" s="65"/>
      <c r="B7" s="113"/>
      <c r="C7" s="25"/>
      <c r="D7" s="23"/>
      <c r="E7" s="24"/>
      <c r="F7" s="24"/>
      <c r="G7" s="80"/>
      <c r="I7" s="114">
        <f t="shared" si="1"/>
        <v>0</v>
      </c>
      <c r="J7" s="23"/>
      <c r="K7" s="23">
        <f>SUM(E7*0.75)</f>
        <v>0</v>
      </c>
      <c r="L7" s="18">
        <f t="shared" si="2"/>
        <v>0</v>
      </c>
      <c r="M7" s="92">
        <f t="shared" si="3"/>
        <v>0</v>
      </c>
      <c r="N7" s="78" t="e">
        <f t="shared" si="4"/>
        <v>#DIV/0!</v>
      </c>
      <c r="O7" s="77"/>
      <c r="P7" s="77"/>
      <c r="Q7" s="77"/>
      <c r="R7" s="77"/>
      <c r="S7" s="77"/>
      <c r="T7" s="77"/>
      <c r="U7" s="77"/>
      <c r="V7" s="77"/>
      <c r="W7" s="77"/>
      <c r="X7" s="77"/>
      <c r="Y7" s="77"/>
      <c r="Z7" s="77"/>
      <c r="AA7" s="77"/>
    </row>
    <row r="8" spans="1:32" ht="23.4" customHeight="1" x14ac:dyDescent="0.45">
      <c r="A8" s="66"/>
      <c r="B8" s="98"/>
      <c r="C8" s="25"/>
      <c r="D8" s="23"/>
      <c r="E8" s="24"/>
      <c r="F8" s="24"/>
      <c r="G8" s="80"/>
      <c r="I8" s="25"/>
      <c r="J8" s="23"/>
      <c r="K8" s="24"/>
      <c r="L8" s="18"/>
      <c r="N8" s="77"/>
      <c r="O8" s="77"/>
      <c r="P8" s="77"/>
      <c r="Q8" s="77"/>
      <c r="R8" s="77"/>
      <c r="S8" s="77"/>
      <c r="T8" s="77"/>
      <c r="U8" s="77"/>
      <c r="V8" s="77"/>
      <c r="W8" s="77"/>
      <c r="X8" s="77"/>
      <c r="Y8" s="77"/>
      <c r="Z8" s="77"/>
      <c r="AA8" s="77"/>
    </row>
    <row r="9" spans="1:32" ht="23.4" customHeight="1" x14ac:dyDescent="0.45">
      <c r="A9" s="99"/>
      <c r="B9" s="98"/>
      <c r="C9" s="25"/>
      <c r="D9" s="23"/>
      <c r="E9" s="24"/>
      <c r="F9" s="24"/>
      <c r="G9" s="80"/>
      <c r="I9" s="25"/>
      <c r="J9" s="23"/>
      <c r="K9" s="23"/>
      <c r="L9" s="18"/>
      <c r="N9" s="77"/>
      <c r="O9" s="77"/>
      <c r="P9" s="77"/>
      <c r="Q9" s="77"/>
      <c r="R9" s="77"/>
      <c r="S9" s="77"/>
      <c r="T9" s="77"/>
      <c r="U9" s="77"/>
      <c r="V9" s="77"/>
      <c r="W9" s="77"/>
      <c r="X9" s="77"/>
      <c r="Y9" s="77"/>
      <c r="Z9" s="77"/>
      <c r="AA9" s="77"/>
    </row>
    <row r="10" spans="1:32" ht="23.4" customHeight="1" x14ac:dyDescent="0.45">
      <c r="A10" s="99"/>
      <c r="B10" s="98"/>
      <c r="C10" s="25"/>
      <c r="D10" s="23"/>
      <c r="E10" s="24"/>
      <c r="F10" s="24"/>
      <c r="G10" s="80"/>
      <c r="I10" s="25"/>
      <c r="J10" s="43"/>
      <c r="K10" s="23"/>
      <c r="L10" s="18"/>
      <c r="N10" s="77"/>
      <c r="O10" s="77"/>
      <c r="P10" s="77"/>
      <c r="Q10" s="77"/>
      <c r="R10" s="77"/>
      <c r="S10" s="77"/>
      <c r="T10" s="77"/>
      <c r="U10" s="77"/>
      <c r="V10" s="77"/>
      <c r="W10" s="77"/>
      <c r="X10" s="77"/>
      <c r="Y10" s="77"/>
      <c r="Z10" s="77"/>
      <c r="AA10" s="77"/>
    </row>
    <row r="11" spans="1:32" ht="23.4" customHeight="1" x14ac:dyDescent="0.45">
      <c r="A11" s="99"/>
      <c r="B11" s="98"/>
      <c r="C11" s="25"/>
      <c r="D11" s="23"/>
      <c r="E11" s="24"/>
      <c r="F11" s="24"/>
      <c r="G11" s="80"/>
      <c r="I11" s="25"/>
      <c r="J11" s="23"/>
      <c r="K11" s="24"/>
      <c r="L11" s="18"/>
      <c r="N11" s="77"/>
      <c r="O11" s="77"/>
      <c r="P11" s="77"/>
      <c r="Q11" s="77"/>
      <c r="R11" s="77"/>
      <c r="S11" s="77"/>
      <c r="T11" s="77"/>
      <c r="U11" s="77"/>
      <c r="V11" s="77"/>
      <c r="W11" s="77"/>
      <c r="X11" s="77"/>
      <c r="Y11" s="77"/>
      <c r="Z11" s="77"/>
      <c r="AA11" s="77"/>
    </row>
    <row r="12" spans="1:32" ht="23.4" customHeight="1" x14ac:dyDescent="0.45">
      <c r="A12" s="67"/>
      <c r="B12" s="98"/>
      <c r="C12" s="25"/>
      <c r="D12" s="23"/>
      <c r="E12" s="24"/>
      <c r="F12" s="24"/>
      <c r="G12" s="76"/>
      <c r="I12" s="19"/>
      <c r="J12" s="23"/>
      <c r="K12" s="24"/>
      <c r="L12" s="18"/>
      <c r="N12" s="77"/>
      <c r="O12" s="77"/>
      <c r="P12" s="77"/>
      <c r="Q12" s="77"/>
      <c r="R12" s="77"/>
      <c r="S12" s="77"/>
      <c r="T12" s="77"/>
      <c r="U12" s="77"/>
      <c r="V12" s="77"/>
      <c r="W12" s="77"/>
      <c r="X12" s="77"/>
      <c r="Y12" s="77"/>
      <c r="Z12" s="77"/>
      <c r="AA12" s="77"/>
    </row>
    <row r="13" spans="1:32" ht="23.4" customHeight="1" x14ac:dyDescent="0.45">
      <c r="A13" s="68"/>
      <c r="B13" s="98"/>
      <c r="C13" s="25"/>
      <c r="D13" s="23"/>
      <c r="E13" s="24"/>
      <c r="F13" s="24"/>
      <c r="G13" s="76"/>
      <c r="I13" s="19"/>
      <c r="J13" s="23"/>
      <c r="K13" s="24"/>
      <c r="L13" s="18"/>
      <c r="N13" s="77"/>
      <c r="O13" s="77"/>
      <c r="P13" s="77"/>
      <c r="Q13" s="77"/>
      <c r="R13" s="77"/>
      <c r="S13" s="77"/>
      <c r="T13" s="77"/>
      <c r="U13" s="77"/>
      <c r="V13" s="77"/>
      <c r="W13" s="77"/>
      <c r="X13" s="77"/>
      <c r="Y13" s="77"/>
      <c r="Z13" s="77"/>
      <c r="AA13" s="77"/>
    </row>
    <row r="14" spans="1:32" ht="23.4" customHeight="1" x14ac:dyDescent="0.45">
      <c r="A14" s="67"/>
      <c r="B14" s="98"/>
      <c r="C14" s="25"/>
      <c r="D14" s="23"/>
      <c r="E14" s="24"/>
      <c r="F14" s="24"/>
      <c r="G14" s="76"/>
      <c r="I14" s="19"/>
      <c r="J14" s="23"/>
      <c r="K14" s="24"/>
      <c r="L14" s="18"/>
      <c r="N14" s="77"/>
      <c r="O14" s="77"/>
      <c r="P14" s="77"/>
      <c r="Q14" s="77"/>
      <c r="R14" s="77"/>
      <c r="S14" s="77"/>
      <c r="T14" s="77"/>
      <c r="U14" s="77"/>
      <c r="V14" s="77"/>
      <c r="W14" s="77"/>
      <c r="X14" s="77"/>
      <c r="Y14" s="77"/>
      <c r="Z14" s="77"/>
      <c r="AA14" s="77"/>
    </row>
    <row r="15" spans="1:32" ht="23.4" customHeight="1" x14ac:dyDescent="0.45">
      <c r="A15" s="68"/>
      <c r="B15" s="98"/>
      <c r="C15" s="25"/>
      <c r="D15" s="23"/>
      <c r="E15" s="24"/>
      <c r="F15" s="24"/>
      <c r="G15" s="76"/>
      <c r="I15" s="19"/>
      <c r="J15" s="23"/>
      <c r="K15" s="24"/>
      <c r="L15" s="18"/>
      <c r="N15" s="77"/>
      <c r="O15" s="77"/>
      <c r="P15" s="77"/>
      <c r="Q15" s="77"/>
      <c r="R15" s="77"/>
      <c r="S15" s="77"/>
      <c r="T15" s="77"/>
      <c r="U15" s="77"/>
      <c r="V15" s="77"/>
      <c r="W15" s="77"/>
      <c r="X15" s="77"/>
      <c r="Y15" s="77"/>
      <c r="Z15" s="77"/>
      <c r="AA15" s="77"/>
    </row>
    <row r="16" spans="1:32" ht="23.4" customHeight="1" x14ac:dyDescent="0.45">
      <c r="A16" s="79"/>
      <c r="B16" s="21"/>
      <c r="C16" s="22"/>
      <c r="D16" s="23"/>
      <c r="E16" s="24"/>
      <c r="F16" s="24"/>
      <c r="G16" s="101"/>
      <c r="I16" s="19"/>
      <c r="J16" s="23"/>
      <c r="K16" s="24"/>
      <c r="L16" s="18"/>
      <c r="N16" s="77"/>
      <c r="O16" s="77"/>
      <c r="P16" s="77"/>
      <c r="Q16" s="77"/>
      <c r="R16" s="77"/>
      <c r="S16" s="77"/>
      <c r="T16" s="77"/>
      <c r="U16" s="77"/>
      <c r="V16" s="77"/>
      <c r="W16" s="77"/>
      <c r="X16" s="77"/>
      <c r="Y16" s="77"/>
      <c r="Z16" s="77"/>
      <c r="AA16" s="77"/>
    </row>
    <row r="17" spans="1:27" ht="23.4" customHeight="1" x14ac:dyDescent="0.45">
      <c r="A17" s="79"/>
      <c r="B17" s="21"/>
      <c r="C17" s="22"/>
      <c r="D17" s="23"/>
      <c r="E17" s="24"/>
      <c r="F17" s="24"/>
      <c r="G17" s="101"/>
      <c r="I17" s="19"/>
      <c r="J17" s="23"/>
      <c r="K17" s="24"/>
      <c r="L17" s="18"/>
      <c r="N17" s="77"/>
      <c r="O17" s="77"/>
      <c r="P17" s="77"/>
      <c r="Q17" s="77"/>
      <c r="R17" s="77"/>
      <c r="S17" s="77"/>
      <c r="T17" s="77"/>
      <c r="U17" s="77"/>
      <c r="V17" s="77"/>
      <c r="W17" s="77"/>
      <c r="X17" s="77"/>
      <c r="Y17" s="77"/>
      <c r="Z17" s="77"/>
      <c r="AA17" s="77"/>
    </row>
    <row r="18" spans="1:27" ht="23.4" customHeight="1" x14ac:dyDescent="0.45">
      <c r="A18" s="82" t="s">
        <v>45</v>
      </c>
      <c r="B18" s="21"/>
      <c r="C18" s="22">
        <v>1</v>
      </c>
      <c r="D18" s="23" t="s">
        <v>31</v>
      </c>
      <c r="E18" s="24">
        <f>SUM(F4:F17)</f>
        <v>1638750</v>
      </c>
      <c r="F18" s="18"/>
      <c r="G18" s="76"/>
      <c r="I18" s="22">
        <v>1</v>
      </c>
      <c r="J18" s="23" t="s">
        <v>31</v>
      </c>
      <c r="K18" s="24">
        <f>SUM(L4:L10)</f>
        <v>1229062.5</v>
      </c>
      <c r="L18" s="18"/>
      <c r="N18" s="77"/>
      <c r="O18" s="77"/>
      <c r="P18" s="77"/>
      <c r="Q18" s="77"/>
      <c r="R18" s="77"/>
      <c r="S18" s="77"/>
      <c r="T18" s="77"/>
      <c r="U18" s="77"/>
      <c r="V18" s="77"/>
      <c r="W18" s="77"/>
      <c r="X18" s="77"/>
      <c r="Y18" s="77"/>
      <c r="Z18" s="77"/>
      <c r="AA18" s="77"/>
    </row>
    <row r="19" spans="1:27" ht="23.4" customHeight="1" x14ac:dyDescent="0.45">
      <c r="A19" s="82" t="s">
        <v>47</v>
      </c>
      <c r="B19" s="21" t="s">
        <v>124</v>
      </c>
      <c r="C19" s="22">
        <v>1</v>
      </c>
      <c r="D19" s="23" t="s">
        <v>31</v>
      </c>
      <c r="E19" s="24">
        <f>SUM(F4:F7)*10%</f>
        <v>163875</v>
      </c>
      <c r="F19" s="18">
        <f>C19*E19</f>
        <v>163875</v>
      </c>
      <c r="G19" s="83" t="s">
        <v>255</v>
      </c>
      <c r="I19" s="114">
        <f t="shared" ref="I19" si="5">SUM(C19)</f>
        <v>1</v>
      </c>
      <c r="J19" s="23"/>
      <c r="K19" s="23">
        <f>SUM(E19*0.75)</f>
        <v>122906.25</v>
      </c>
      <c r="L19" s="18">
        <f t="shared" ref="L19" si="6">SUM(I19*K19)</f>
        <v>122906.25</v>
      </c>
      <c r="M19" s="92">
        <f t="shared" ref="M19:M24" si="7">SUM(F19-L19)</f>
        <v>40968.75</v>
      </c>
      <c r="N19" s="77"/>
      <c r="O19" s="77"/>
      <c r="P19" s="77"/>
      <c r="Q19" s="77"/>
      <c r="R19" s="77"/>
      <c r="S19" s="77"/>
      <c r="T19" s="77"/>
      <c r="U19" s="77"/>
      <c r="V19" s="77"/>
      <c r="W19" s="77"/>
      <c r="X19" s="77"/>
      <c r="Y19" s="77"/>
      <c r="Z19" s="77"/>
      <c r="AA19" s="77"/>
    </row>
    <row r="20" spans="1:27" ht="23.4" customHeight="1" x14ac:dyDescent="0.45">
      <c r="A20" s="82"/>
      <c r="B20" s="17"/>
      <c r="C20" s="22"/>
      <c r="D20" s="23"/>
      <c r="E20" s="24"/>
      <c r="F20" s="18"/>
      <c r="G20" s="69"/>
      <c r="I20" s="22"/>
      <c r="J20" s="23"/>
      <c r="K20" s="110">
        <f t="shared" ref="K20" si="8">SUM(F20)</f>
        <v>0</v>
      </c>
      <c r="L20" s="18"/>
      <c r="M20" s="92"/>
      <c r="N20"/>
      <c r="O20" s="77"/>
      <c r="P20" s="77"/>
      <c r="Q20" s="77"/>
      <c r="R20" s="77"/>
      <c r="S20" s="77"/>
      <c r="T20" s="77"/>
      <c r="U20" s="77"/>
      <c r="V20" s="77"/>
      <c r="W20" s="77"/>
      <c r="X20" s="77"/>
      <c r="Y20" s="77"/>
      <c r="Z20" s="77"/>
      <c r="AA20" s="77"/>
    </row>
    <row r="21" spans="1:27" ht="23.4" customHeight="1" x14ac:dyDescent="0.45">
      <c r="A21" s="82" t="s">
        <v>49</v>
      </c>
      <c r="B21" s="17"/>
      <c r="C21" s="22">
        <v>1</v>
      </c>
      <c r="D21" s="23" t="s">
        <v>31</v>
      </c>
      <c r="E21" s="24">
        <f>SUM(E18)*0.15</f>
        <v>245812.5</v>
      </c>
      <c r="F21" s="18">
        <f>C21*E21</f>
        <v>245812.5</v>
      </c>
      <c r="G21" s="84"/>
      <c r="I21" s="114">
        <f t="shared" ref="I21:I22" si="9">SUM(C21)</f>
        <v>1</v>
      </c>
      <c r="J21" s="23"/>
      <c r="K21" s="23">
        <f>SUM(E21*0.75)</f>
        <v>184359.375</v>
      </c>
      <c r="L21" s="18">
        <f t="shared" ref="L21:L23" si="10">SUM(I21*K21)</f>
        <v>184359.375</v>
      </c>
      <c r="M21" s="92">
        <f t="shared" si="7"/>
        <v>61453.125</v>
      </c>
      <c r="N21"/>
      <c r="O21" s="77"/>
      <c r="P21" s="77"/>
      <c r="Q21" s="77"/>
      <c r="R21" s="77"/>
      <c r="S21" s="77"/>
      <c r="T21" s="77"/>
      <c r="U21" s="77"/>
      <c r="V21" s="77"/>
      <c r="W21" s="77"/>
      <c r="X21" s="77"/>
      <c r="Y21" s="77"/>
      <c r="Z21" s="77"/>
      <c r="AA21" s="77"/>
    </row>
    <row r="22" spans="1:27" ht="23.4" customHeight="1" x14ac:dyDescent="0.45">
      <c r="A22" s="82" t="s">
        <v>50</v>
      </c>
      <c r="B22" s="17"/>
      <c r="C22" s="22">
        <v>1</v>
      </c>
      <c r="D22" s="23" t="s">
        <v>31</v>
      </c>
      <c r="E22" s="24">
        <v>-4956</v>
      </c>
      <c r="F22" s="18">
        <f>C22*E22</f>
        <v>-4956</v>
      </c>
      <c r="G22" s="280" t="s">
        <v>115</v>
      </c>
      <c r="I22" s="114">
        <f t="shared" si="9"/>
        <v>1</v>
      </c>
      <c r="J22" s="23"/>
      <c r="K22" s="23">
        <f>SUM(E22*0.75)</f>
        <v>-3717</v>
      </c>
      <c r="L22" s="18">
        <f t="shared" si="10"/>
        <v>-3717</v>
      </c>
      <c r="N22"/>
      <c r="O22" s="77"/>
      <c r="P22" s="77"/>
      <c r="Q22" s="77"/>
      <c r="R22" s="77"/>
      <c r="S22" s="77"/>
      <c r="T22" s="77"/>
      <c r="U22" s="77"/>
      <c r="V22" s="77"/>
      <c r="W22" s="77"/>
      <c r="X22" s="77"/>
      <c r="Y22" s="77"/>
      <c r="Z22" s="77"/>
      <c r="AA22" s="77"/>
    </row>
    <row r="23" spans="1:27" ht="23.4" customHeight="1" x14ac:dyDescent="0.45">
      <c r="A23" s="82" t="s">
        <v>51</v>
      </c>
      <c r="B23" s="17"/>
      <c r="C23" s="22">
        <v>1</v>
      </c>
      <c r="D23" s="23" t="s">
        <v>31</v>
      </c>
      <c r="E23" s="24">
        <f>SUM(E18)*6.5%</f>
        <v>106518.75</v>
      </c>
      <c r="F23" s="18">
        <f>C23*E23</f>
        <v>106518.75</v>
      </c>
      <c r="G23" s="281"/>
      <c r="I23" s="114">
        <f t="shared" ref="I23" si="11">SUM(C23)</f>
        <v>1</v>
      </c>
      <c r="J23" s="23"/>
      <c r="K23" s="23">
        <f>SUM(E23*0.75)</f>
        <v>79889.0625</v>
      </c>
      <c r="L23" s="18">
        <f t="shared" si="10"/>
        <v>79889.0625</v>
      </c>
      <c r="M23" s="92">
        <f t="shared" si="7"/>
        <v>26629.6875</v>
      </c>
      <c r="N23"/>
      <c r="O23" s="77"/>
      <c r="P23" s="77"/>
      <c r="Q23" s="77"/>
      <c r="R23" s="77"/>
      <c r="S23" s="77"/>
      <c r="T23" s="77"/>
      <c r="U23" s="77"/>
      <c r="V23" s="77"/>
      <c r="W23" s="77"/>
      <c r="X23" s="77"/>
      <c r="Y23" s="77"/>
      <c r="Z23" s="77"/>
      <c r="AA23" s="77"/>
    </row>
    <row r="24" spans="1:27" ht="23.4" customHeight="1" thickBot="1" x14ac:dyDescent="0.5">
      <c r="A24" s="85" t="s">
        <v>52</v>
      </c>
      <c r="B24" s="86"/>
      <c r="C24" s="115">
        <f>SUM(C4:C7)</f>
        <v>655.5</v>
      </c>
      <c r="D24" s="88" t="s">
        <v>114</v>
      </c>
      <c r="E24" s="89">
        <f>SUM(F24/C24)</f>
        <v>3279.9393592677347</v>
      </c>
      <c r="F24" s="90">
        <f>SUM(F3:F23)</f>
        <v>2150000.25</v>
      </c>
      <c r="G24" s="91"/>
      <c r="I24" s="116">
        <f>SUM(I4:I7)</f>
        <v>655.5</v>
      </c>
      <c r="J24" s="23" t="s">
        <v>114</v>
      </c>
      <c r="K24" s="23">
        <f>SUM(L24/I24)</f>
        <v>2459.9545194508009</v>
      </c>
      <c r="L24" s="37">
        <f>SUM(L3:L23)</f>
        <v>1612500.1875</v>
      </c>
      <c r="M24" s="92">
        <f t="shared" si="7"/>
        <v>537500.0625</v>
      </c>
      <c r="N24" s="78">
        <f t="shared" ref="N24" si="12">SUM(M24/F24)</f>
        <v>0.25</v>
      </c>
      <c r="O24" s="77"/>
      <c r="P24" s="77"/>
      <c r="Q24" s="77"/>
      <c r="R24" s="77"/>
      <c r="S24" s="77"/>
      <c r="T24" s="77"/>
      <c r="U24" s="77"/>
      <c r="V24" s="77"/>
      <c r="W24" s="77"/>
      <c r="X24" s="77"/>
      <c r="Y24" s="77"/>
      <c r="Z24" s="77"/>
      <c r="AA24" s="77"/>
    </row>
    <row r="25" spans="1:27" ht="23.4" customHeight="1" thickBot="1" x14ac:dyDescent="0.5">
      <c r="A25" s="282" t="s">
        <v>53</v>
      </c>
      <c r="B25" s="282"/>
      <c r="C25" s="282"/>
      <c r="D25" s="282"/>
      <c r="E25" s="282"/>
      <c r="F25" s="282"/>
      <c r="G25" s="282"/>
      <c r="J25"/>
      <c r="K25"/>
      <c r="L25" s="81"/>
      <c r="M25" s="27"/>
      <c r="N25" s="92"/>
      <c r="O25" s="78"/>
    </row>
    <row r="26" spans="1:27" ht="23.4" customHeight="1" x14ac:dyDescent="0.45">
      <c r="A26" s="71" t="s">
        <v>38</v>
      </c>
      <c r="B26" s="72" t="s">
        <v>39</v>
      </c>
      <c r="C26" s="72" t="s">
        <v>40</v>
      </c>
      <c r="D26" s="73" t="s">
        <v>41</v>
      </c>
      <c r="E26" s="73" t="s">
        <v>42</v>
      </c>
      <c r="F26" s="73" t="s">
        <v>43</v>
      </c>
      <c r="G26" s="74" t="s">
        <v>44</v>
      </c>
      <c r="I26" s="19"/>
      <c r="J26" s="23"/>
      <c r="K26" s="18"/>
      <c r="L26" s="18"/>
    </row>
    <row r="27" spans="1:27" ht="20.100000000000001" customHeight="1" x14ac:dyDescent="0.45">
      <c r="A27" s="75" t="s">
        <v>54</v>
      </c>
      <c r="B27" s="17"/>
      <c r="C27" s="17"/>
      <c r="D27" s="18"/>
      <c r="E27" s="18"/>
      <c r="F27" s="18"/>
      <c r="G27" s="76"/>
      <c r="I27" s="19"/>
      <c r="J27" s="23"/>
      <c r="K27" s="18"/>
      <c r="L27" s="26"/>
    </row>
    <row r="28" spans="1:27" ht="20.100000000000001" customHeight="1" x14ac:dyDescent="0.45">
      <c r="A28" s="82" t="s">
        <v>55</v>
      </c>
      <c r="B28" s="35"/>
      <c r="C28" s="36">
        <v>1</v>
      </c>
      <c r="D28" s="23" t="s">
        <v>56</v>
      </c>
      <c r="E28" s="18">
        <v>25200</v>
      </c>
      <c r="F28" s="18">
        <f>SUM(E28*C28)</f>
        <v>25200</v>
      </c>
      <c r="G28" s="76"/>
      <c r="I28" s="19"/>
      <c r="J28" s="23"/>
      <c r="K28" s="18"/>
      <c r="L28" s="38"/>
    </row>
    <row r="29" spans="1:27" ht="20.100000000000001" customHeight="1" x14ac:dyDescent="0.45">
      <c r="A29" s="82" t="s">
        <v>57</v>
      </c>
      <c r="B29" s="35"/>
      <c r="C29" s="36">
        <v>3</v>
      </c>
      <c r="D29" s="23" t="s">
        <v>56</v>
      </c>
      <c r="E29" s="18">
        <v>22100</v>
      </c>
      <c r="F29" s="18">
        <f>SUM(E29*C29)</f>
        <v>66300</v>
      </c>
      <c r="G29" s="76"/>
      <c r="I29" s="19"/>
      <c r="J29" s="23"/>
      <c r="K29" s="39"/>
      <c r="L29" s="26"/>
    </row>
    <row r="30" spans="1:27" ht="20.100000000000001" customHeight="1" x14ac:dyDescent="0.45">
      <c r="A30" s="82" t="s">
        <v>58</v>
      </c>
      <c r="B30" s="35"/>
      <c r="C30" s="36">
        <v>4</v>
      </c>
      <c r="D30" s="23" t="s">
        <v>56</v>
      </c>
      <c r="E30" s="18">
        <v>22700</v>
      </c>
      <c r="F30" s="18">
        <f>SUM(E30*C30)</f>
        <v>90800</v>
      </c>
      <c r="G30" s="76"/>
      <c r="I30" s="19"/>
      <c r="J30" s="23"/>
      <c r="K30" s="18"/>
      <c r="L30" s="18"/>
    </row>
    <row r="31" spans="1:27" ht="20.100000000000001" customHeight="1" x14ac:dyDescent="0.45">
      <c r="A31" s="82" t="s">
        <v>59</v>
      </c>
      <c r="B31" s="35"/>
      <c r="C31" s="36">
        <v>4</v>
      </c>
      <c r="D31" s="23" t="s">
        <v>56</v>
      </c>
      <c r="E31" s="18">
        <v>19200</v>
      </c>
      <c r="F31" s="18">
        <f>SUM(E31*C31)</f>
        <v>76800</v>
      </c>
      <c r="G31" s="76"/>
      <c r="I31" s="19"/>
      <c r="J31" s="23"/>
      <c r="K31" s="18"/>
      <c r="L31" s="18"/>
    </row>
    <row r="32" spans="1:27" ht="20.100000000000001" customHeight="1" x14ac:dyDescent="0.45">
      <c r="A32" s="82" t="s">
        <v>60</v>
      </c>
      <c r="B32" s="35"/>
      <c r="C32" s="36">
        <v>4</v>
      </c>
      <c r="D32" s="23" t="s">
        <v>56</v>
      </c>
      <c r="E32" s="18">
        <v>20300</v>
      </c>
      <c r="F32" s="18">
        <f>SUM(E32*C32)</f>
        <v>81200</v>
      </c>
      <c r="G32" s="76"/>
      <c r="I32" s="19"/>
      <c r="J32" s="23"/>
      <c r="K32" s="18"/>
      <c r="L32" s="37"/>
    </row>
    <row r="33" spans="1:12" ht="20.100000000000001" customHeight="1" x14ac:dyDescent="0.45">
      <c r="A33" s="82"/>
      <c r="B33" s="35"/>
      <c r="C33" s="36"/>
      <c r="D33" s="23"/>
      <c r="E33" s="18"/>
      <c r="F33" s="18"/>
      <c r="G33" s="76"/>
      <c r="I33" s="19"/>
      <c r="J33" s="23"/>
      <c r="K33" s="18"/>
      <c r="L33" s="18"/>
    </row>
    <row r="34" spans="1:12" ht="20.100000000000001" customHeight="1" x14ac:dyDescent="0.45">
      <c r="A34" s="75" t="s">
        <v>61</v>
      </c>
      <c r="B34" s="17"/>
      <c r="C34" s="36"/>
      <c r="D34" s="18"/>
      <c r="E34" s="18"/>
      <c r="F34" s="18"/>
      <c r="G34" s="76"/>
      <c r="I34" s="19"/>
      <c r="J34" s="23"/>
      <c r="K34" s="18"/>
      <c r="L34" s="18"/>
    </row>
    <row r="35" spans="1:12" ht="20.100000000000001" customHeight="1" x14ac:dyDescent="0.45">
      <c r="A35" s="82" t="s">
        <v>62</v>
      </c>
      <c r="B35" s="35" t="s">
        <v>63</v>
      </c>
      <c r="C35" s="36">
        <v>2</v>
      </c>
      <c r="D35" s="23" t="s">
        <v>64</v>
      </c>
      <c r="E35" s="18">
        <v>175000</v>
      </c>
      <c r="F35" s="18">
        <f>E35*C35</f>
        <v>350000</v>
      </c>
      <c r="G35" s="76"/>
      <c r="I35" s="19"/>
      <c r="J35" s="23"/>
      <c r="K35" s="18"/>
      <c r="L35" s="18"/>
    </row>
    <row r="36" spans="1:12" ht="20.100000000000001" customHeight="1" x14ac:dyDescent="0.45">
      <c r="A36" s="82" t="s">
        <v>65</v>
      </c>
      <c r="B36" s="35" t="s">
        <v>66</v>
      </c>
      <c r="C36" s="36">
        <v>1</v>
      </c>
      <c r="D36" s="23" t="s">
        <v>64</v>
      </c>
      <c r="E36" s="18">
        <v>190000</v>
      </c>
      <c r="F36" s="18">
        <f>E36*C36</f>
        <v>190000</v>
      </c>
      <c r="G36" s="76"/>
      <c r="I36" s="19"/>
      <c r="J36" s="23"/>
      <c r="K36" s="18"/>
      <c r="L36" s="18"/>
    </row>
    <row r="37" spans="1:12" ht="20.100000000000001" customHeight="1" x14ac:dyDescent="0.45">
      <c r="A37" s="82" t="s">
        <v>67</v>
      </c>
      <c r="B37" s="35" t="s">
        <v>68</v>
      </c>
      <c r="C37" s="36">
        <v>2</v>
      </c>
      <c r="D37" s="23" t="s">
        <v>64</v>
      </c>
      <c r="E37" s="18">
        <v>180000</v>
      </c>
      <c r="F37" s="18">
        <f>SUM(C37*E37)</f>
        <v>360000</v>
      </c>
      <c r="G37" s="76"/>
      <c r="I37" s="19"/>
      <c r="J37" s="23"/>
      <c r="K37" s="18"/>
      <c r="L37" s="18"/>
    </row>
    <row r="38" spans="1:12" ht="20.100000000000001" customHeight="1" x14ac:dyDescent="0.45">
      <c r="A38" s="82" t="s">
        <v>69</v>
      </c>
      <c r="B38" s="35" t="s">
        <v>70</v>
      </c>
      <c r="C38" s="36">
        <v>2</v>
      </c>
      <c r="D38" s="23" t="s">
        <v>64</v>
      </c>
      <c r="E38" s="40"/>
      <c r="F38" s="40"/>
      <c r="G38" s="76"/>
      <c r="I38" s="19"/>
      <c r="J38" s="23"/>
      <c r="K38" s="18"/>
      <c r="L38" s="18"/>
    </row>
    <row r="39" spans="1:12" ht="20.100000000000001" customHeight="1" x14ac:dyDescent="0.45">
      <c r="A39" s="82" t="s">
        <v>71</v>
      </c>
      <c r="B39" s="35"/>
      <c r="C39" s="36">
        <v>1</v>
      </c>
      <c r="D39" s="23" t="s">
        <v>64</v>
      </c>
      <c r="E39" s="18">
        <v>8600</v>
      </c>
      <c r="F39" s="18">
        <f t="shared" ref="F39:F44" si="13">E39*C39</f>
        <v>8600</v>
      </c>
      <c r="G39" s="76"/>
      <c r="I39" s="19"/>
      <c r="J39" s="23"/>
      <c r="K39" s="18"/>
      <c r="L39" s="18"/>
    </row>
    <row r="40" spans="1:12" ht="20.100000000000001" customHeight="1" x14ac:dyDescent="0.45">
      <c r="A40" s="82" t="s">
        <v>72</v>
      </c>
      <c r="B40" s="35"/>
      <c r="C40" s="36">
        <v>3</v>
      </c>
      <c r="D40" s="23" t="s">
        <v>64</v>
      </c>
      <c r="E40" s="18">
        <v>2800</v>
      </c>
      <c r="F40" s="18">
        <f t="shared" si="13"/>
        <v>8400</v>
      </c>
      <c r="G40" s="76"/>
      <c r="I40" s="19"/>
      <c r="J40" s="23"/>
      <c r="K40" s="18"/>
      <c r="L40" s="18"/>
    </row>
    <row r="41" spans="1:12" ht="20.100000000000001" customHeight="1" x14ac:dyDescent="0.45">
      <c r="A41" s="82" t="s">
        <v>73</v>
      </c>
      <c r="B41" s="35" t="s">
        <v>74</v>
      </c>
      <c r="C41" s="36">
        <v>1</v>
      </c>
      <c r="D41" s="23" t="s">
        <v>64</v>
      </c>
      <c r="E41" s="18">
        <v>10392</v>
      </c>
      <c r="F41" s="18">
        <f t="shared" si="13"/>
        <v>10392</v>
      </c>
      <c r="G41" s="76"/>
      <c r="I41" s="19"/>
      <c r="J41" s="23"/>
      <c r="K41" s="18"/>
      <c r="L41" s="18"/>
    </row>
    <row r="42" spans="1:12" ht="20.100000000000001" customHeight="1" x14ac:dyDescent="0.45">
      <c r="A42" s="82" t="s">
        <v>75</v>
      </c>
      <c r="B42" s="35" t="s">
        <v>76</v>
      </c>
      <c r="C42" s="36">
        <v>1</v>
      </c>
      <c r="D42" s="23" t="s">
        <v>64</v>
      </c>
      <c r="E42" s="18">
        <v>14664</v>
      </c>
      <c r="F42" s="18">
        <f t="shared" si="13"/>
        <v>14664</v>
      </c>
      <c r="G42" s="76"/>
      <c r="I42" s="17"/>
      <c r="J42" s="18"/>
      <c r="K42" s="18"/>
      <c r="L42" s="18"/>
    </row>
    <row r="43" spans="1:12" ht="20.100000000000001" customHeight="1" x14ac:dyDescent="0.45">
      <c r="A43" s="93" t="s">
        <v>77</v>
      </c>
      <c r="B43" s="35" t="s">
        <v>78</v>
      </c>
      <c r="C43" s="36">
        <v>1</v>
      </c>
      <c r="D43" s="23" t="s">
        <v>64</v>
      </c>
      <c r="E43" s="18">
        <v>13500</v>
      </c>
      <c r="F43" s="18">
        <f t="shared" si="13"/>
        <v>13500</v>
      </c>
      <c r="G43" s="76"/>
    </row>
    <row r="44" spans="1:12" ht="20.100000000000001" customHeight="1" x14ac:dyDescent="0.45">
      <c r="A44" s="93" t="s">
        <v>79</v>
      </c>
      <c r="B44" s="35" t="s">
        <v>80</v>
      </c>
      <c r="C44" s="36">
        <v>1</v>
      </c>
      <c r="D44" s="23" t="s">
        <v>64</v>
      </c>
      <c r="E44" s="18">
        <v>9700</v>
      </c>
      <c r="F44" s="18">
        <f t="shared" si="13"/>
        <v>9700</v>
      </c>
      <c r="G44" s="76"/>
    </row>
    <row r="45" spans="1:12" ht="20.100000000000001" customHeight="1" x14ac:dyDescent="0.45">
      <c r="A45" s="93"/>
      <c r="B45" s="35"/>
      <c r="C45" s="36"/>
      <c r="D45" s="23"/>
      <c r="E45" s="18"/>
      <c r="F45" s="18"/>
      <c r="G45" s="76"/>
    </row>
    <row r="46" spans="1:12" ht="20.100000000000001" customHeight="1" x14ac:dyDescent="0.45">
      <c r="A46" s="94" t="s">
        <v>81</v>
      </c>
      <c r="B46" s="35"/>
      <c r="C46" s="36"/>
      <c r="D46" s="23"/>
      <c r="E46" s="18"/>
      <c r="F46" s="18"/>
      <c r="G46" s="76"/>
    </row>
    <row r="47" spans="1:12" ht="20.100000000000001" customHeight="1" x14ac:dyDescent="0.45">
      <c r="A47" s="82" t="s">
        <v>82</v>
      </c>
      <c r="B47" s="35" t="s">
        <v>83</v>
      </c>
      <c r="C47" s="36">
        <v>10</v>
      </c>
      <c r="D47" s="23" t="s">
        <v>84</v>
      </c>
      <c r="E47" s="18">
        <v>450000</v>
      </c>
      <c r="F47" s="18">
        <f>E47*C47*0.025</f>
        <v>112500</v>
      </c>
      <c r="G47" s="76" t="s">
        <v>85</v>
      </c>
    </row>
    <row r="48" spans="1:12" ht="20.100000000000001" customHeight="1" x14ac:dyDescent="0.45">
      <c r="A48" s="82" t="s">
        <v>86</v>
      </c>
      <c r="B48" s="35" t="s">
        <v>87</v>
      </c>
      <c r="C48" s="36">
        <v>1</v>
      </c>
      <c r="D48" s="23" t="s">
        <v>88</v>
      </c>
      <c r="E48" s="18">
        <v>50000</v>
      </c>
      <c r="F48" s="18">
        <f>E48*C48*0.25</f>
        <v>12500</v>
      </c>
      <c r="G48" s="76" t="s">
        <v>89</v>
      </c>
    </row>
    <row r="49" spans="1:7" ht="20.100000000000001" customHeight="1" x14ac:dyDescent="0.45">
      <c r="A49" s="82" t="s">
        <v>90</v>
      </c>
      <c r="B49" s="35" t="s">
        <v>91</v>
      </c>
      <c r="C49" s="36">
        <v>1</v>
      </c>
      <c r="D49" s="23" t="s">
        <v>31</v>
      </c>
      <c r="E49" s="18">
        <v>25000</v>
      </c>
      <c r="F49" s="18">
        <f>E49*C49</f>
        <v>25000</v>
      </c>
      <c r="G49" s="76"/>
    </row>
    <row r="50" spans="1:7" ht="20.100000000000001" customHeight="1" x14ac:dyDescent="0.45">
      <c r="A50" s="93" t="s">
        <v>50</v>
      </c>
      <c r="B50" s="35"/>
      <c r="C50" s="36">
        <v>1</v>
      </c>
      <c r="D50" s="23" t="s">
        <v>31</v>
      </c>
      <c r="E50" s="18">
        <v>-5556</v>
      </c>
      <c r="F50" s="18">
        <f>E50*C50</f>
        <v>-5556</v>
      </c>
      <c r="G50" s="76"/>
    </row>
    <row r="51" spans="1:7" ht="20.100000000000001" customHeight="1" x14ac:dyDescent="0.45">
      <c r="A51" s="82" t="s">
        <v>92</v>
      </c>
      <c r="B51" s="35"/>
      <c r="C51" s="36"/>
      <c r="D51" s="23"/>
      <c r="E51" s="18"/>
      <c r="F51" s="37">
        <f>SUM(F27:F50)</f>
        <v>1450000</v>
      </c>
      <c r="G51" s="76"/>
    </row>
    <row r="52" spans="1:7" ht="18.600000000000001" thickBot="1" x14ac:dyDescent="0.5">
      <c r="A52" s="95" t="s">
        <v>93</v>
      </c>
      <c r="B52" s="96"/>
      <c r="C52" s="87">
        <v>0.7</v>
      </c>
      <c r="D52" s="88" t="s">
        <v>94</v>
      </c>
      <c r="E52" s="90">
        <f>SUM(F51)</f>
        <v>1450000</v>
      </c>
      <c r="F52" s="97">
        <f>SUM(C52*E52)</f>
        <v>1014999.9999999999</v>
      </c>
      <c r="G52" s="91"/>
    </row>
  </sheetData>
  <mergeCells count="5">
    <mergeCell ref="A1:G1"/>
    <mergeCell ref="I1:J1"/>
    <mergeCell ref="K1:L1"/>
    <mergeCell ref="G22:G23"/>
    <mergeCell ref="A25:G25"/>
  </mergeCells>
  <phoneticPr fontId="3"/>
  <printOptions horizontalCentered="1" verticalCentered="1"/>
  <pageMargins left="0.23622047244094491" right="0.23622047244094491" top="0.74803149606299213" bottom="0.74803149606299213" header="0.31496062992125984" footer="0.31496062992125984"/>
  <pageSetup paperSize="9" scale="84" orientation="landscape" r:id="rId1"/>
  <headerFooter alignWithMargins="0">
    <oddHeader>&amp;R&amp;P / &amp;N ページ</oddHeader>
    <oddFooter>&amp;R株式会社 サンユウテック</oddFooter>
  </headerFooter>
  <rowBreaks count="1" manualBreakCount="1">
    <brk id="24"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44D59-FF84-447A-A6DD-82B5EDE09E7F}">
  <sheetPr>
    <pageSetUpPr fitToPage="1"/>
  </sheetPr>
  <dimension ref="A1:K46"/>
  <sheetViews>
    <sheetView tabSelected="1" view="pageBreakPreview" topLeftCell="A2" zoomScale="85" zoomScaleNormal="100" zoomScaleSheetLayoutView="85" workbookViewId="0">
      <selection activeCell="B7" sqref="F7:AF7"/>
    </sheetView>
  </sheetViews>
  <sheetFormatPr defaultRowHeight="18" x14ac:dyDescent="0.45"/>
  <cols>
    <col min="1" max="1" width="3" style="49" customWidth="1"/>
    <col min="2" max="2" width="31.3984375" customWidth="1"/>
    <col min="3" max="3" width="12.5" customWidth="1"/>
    <col min="4" max="4" width="12" style="28" customWidth="1"/>
    <col min="5" max="6" width="15.8984375" style="28" customWidth="1"/>
    <col min="7" max="7" width="47.69921875" customWidth="1"/>
    <col min="8" max="8" width="12.5" customWidth="1"/>
    <col min="9" max="9" width="12" style="28" customWidth="1"/>
    <col min="10" max="11" width="15.8984375" style="28" customWidth="1"/>
  </cols>
  <sheetData>
    <row r="1" spans="1:11" ht="42" customHeight="1" thickTop="1" thickBot="1" x14ac:dyDescent="0.5">
      <c r="A1" s="276" t="s">
        <v>238</v>
      </c>
      <c r="B1" s="277"/>
      <c r="C1" s="277"/>
      <c r="D1" s="277"/>
      <c r="E1" s="277"/>
      <c r="F1" s="277"/>
      <c r="G1" s="278"/>
      <c r="H1" s="279" t="s">
        <v>37</v>
      </c>
      <c r="I1" s="260"/>
      <c r="J1" s="259"/>
      <c r="K1" s="260"/>
    </row>
    <row r="2" spans="1:11" ht="23.1" customHeight="1" thickTop="1" x14ac:dyDescent="0.45">
      <c r="A2" s="54"/>
      <c r="B2" s="267" t="s">
        <v>275</v>
      </c>
      <c r="C2" s="267"/>
      <c r="D2" s="267"/>
      <c r="E2" s="267"/>
      <c r="F2" s="267"/>
      <c r="G2" s="268"/>
      <c r="H2" s="44" t="s">
        <v>40</v>
      </c>
      <c r="I2" s="15" t="s">
        <v>41</v>
      </c>
      <c r="J2" s="15" t="s">
        <v>42</v>
      </c>
      <c r="K2" s="15" t="s">
        <v>43</v>
      </c>
    </row>
    <row r="3" spans="1:11" ht="23.1" customHeight="1" x14ac:dyDescent="0.45">
      <c r="A3" s="54">
        <v>2</v>
      </c>
      <c r="B3" s="267" t="s">
        <v>240</v>
      </c>
      <c r="C3" s="267"/>
      <c r="D3" s="267"/>
      <c r="E3" s="267"/>
      <c r="F3" s="267"/>
      <c r="G3" s="268"/>
      <c r="H3" s="45"/>
      <c r="I3" s="18"/>
      <c r="J3" s="18"/>
      <c r="K3" s="18"/>
    </row>
    <row r="4" spans="1:11" ht="23.1" customHeight="1" x14ac:dyDescent="0.45">
      <c r="A4" s="55">
        <v>3</v>
      </c>
      <c r="B4" s="267" t="s">
        <v>96</v>
      </c>
      <c r="C4" s="267"/>
      <c r="D4" s="267"/>
      <c r="E4" s="267"/>
      <c r="F4" s="267"/>
      <c r="G4" s="268"/>
      <c r="H4" s="45"/>
      <c r="I4" s="23"/>
      <c r="J4" s="24"/>
      <c r="K4" s="18">
        <f>SUM(H4*J4)</f>
        <v>0</v>
      </c>
    </row>
    <row r="5" spans="1:11" ht="23.1" customHeight="1" x14ac:dyDescent="0.45">
      <c r="A5" s="54">
        <v>4</v>
      </c>
      <c r="B5" s="271" t="s">
        <v>99</v>
      </c>
      <c r="C5" s="271"/>
      <c r="D5" s="271"/>
      <c r="E5" s="271"/>
      <c r="F5" s="271"/>
      <c r="G5" s="272"/>
      <c r="H5" s="45"/>
      <c r="I5" s="23"/>
      <c r="J5" s="24"/>
      <c r="K5" s="18"/>
    </row>
    <row r="6" spans="1:11" ht="23.1" customHeight="1" x14ac:dyDescent="0.45">
      <c r="A6" s="56">
        <v>5</v>
      </c>
      <c r="B6" s="271" t="s">
        <v>100</v>
      </c>
      <c r="C6" s="271"/>
      <c r="D6" s="271"/>
      <c r="E6" s="271"/>
      <c r="F6" s="271"/>
      <c r="G6" s="272"/>
      <c r="H6" s="45"/>
      <c r="I6" s="23"/>
      <c r="J6" s="24"/>
      <c r="K6" s="18">
        <f>SUM(H6*J6)</f>
        <v>0</v>
      </c>
    </row>
    <row r="7" spans="1:11" ht="23.1" customHeight="1" x14ac:dyDescent="0.45">
      <c r="A7" s="54">
        <v>6</v>
      </c>
      <c r="B7" s="269" t="s">
        <v>241</v>
      </c>
      <c r="C7" s="269"/>
      <c r="D7" s="269"/>
      <c r="E7" s="269"/>
      <c r="F7" s="269"/>
      <c r="G7" s="270"/>
      <c r="H7" s="45"/>
      <c r="I7" s="23"/>
      <c r="J7" s="24"/>
      <c r="K7" s="18"/>
    </row>
    <row r="8" spans="1:11" ht="23.1" customHeight="1" x14ac:dyDescent="0.45">
      <c r="A8" s="54">
        <v>7</v>
      </c>
      <c r="B8" s="271" t="s">
        <v>99</v>
      </c>
      <c r="C8" s="271"/>
      <c r="D8" s="271"/>
      <c r="E8" s="271"/>
      <c r="F8" s="271"/>
      <c r="G8" s="272"/>
      <c r="H8" s="46"/>
      <c r="I8" s="43"/>
      <c r="J8" s="24"/>
      <c r="K8" s="18">
        <f>SUM(H8*J8)</f>
        <v>0</v>
      </c>
    </row>
    <row r="9" spans="1:11" ht="23.1" customHeight="1" x14ac:dyDescent="0.45">
      <c r="A9" s="54">
        <v>8</v>
      </c>
      <c r="B9" s="271" t="s">
        <v>100</v>
      </c>
      <c r="C9" s="271"/>
      <c r="D9" s="271"/>
      <c r="E9" s="271"/>
      <c r="F9" s="271"/>
      <c r="G9" s="272"/>
      <c r="H9" s="45"/>
      <c r="I9" s="23"/>
      <c r="J9" s="24"/>
      <c r="K9" s="26"/>
    </row>
    <row r="10" spans="1:11" ht="23.1" customHeight="1" x14ac:dyDescent="0.45">
      <c r="A10" s="54">
        <v>9</v>
      </c>
      <c r="B10" s="273" t="s">
        <v>243</v>
      </c>
      <c r="C10" s="273"/>
      <c r="D10" s="273"/>
      <c r="E10" s="273"/>
      <c r="F10" s="273"/>
      <c r="G10" s="274"/>
      <c r="H10" s="46"/>
      <c r="I10" s="43"/>
      <c r="J10" s="24"/>
      <c r="K10" s="18">
        <f>SUM(H10*J10)</f>
        <v>0</v>
      </c>
    </row>
    <row r="11" spans="1:11" ht="23.1" customHeight="1" x14ac:dyDescent="0.45">
      <c r="A11" s="54">
        <v>10</v>
      </c>
      <c r="B11" s="275" t="s">
        <v>244</v>
      </c>
      <c r="C11" s="275"/>
      <c r="D11" s="275"/>
      <c r="E11" s="275"/>
      <c r="F11" s="275"/>
      <c r="G11" s="275"/>
      <c r="H11" s="291"/>
      <c r="I11" s="23"/>
      <c r="J11" s="24"/>
      <c r="K11" s="26"/>
    </row>
    <row r="12" spans="1:11" ht="23.1" customHeight="1" x14ac:dyDescent="0.45">
      <c r="A12" s="54">
        <v>11</v>
      </c>
      <c r="B12" s="273" t="s">
        <v>242</v>
      </c>
      <c r="C12" s="273"/>
      <c r="D12" s="273"/>
      <c r="E12" s="273"/>
      <c r="F12" s="273"/>
      <c r="G12" s="274"/>
      <c r="H12" s="45"/>
      <c r="I12" s="23"/>
      <c r="J12" s="24"/>
      <c r="K12" s="18">
        <f>SUM(H12*J12)</f>
        <v>0</v>
      </c>
    </row>
    <row r="13" spans="1:11" ht="23.1" customHeight="1" x14ac:dyDescent="0.45">
      <c r="A13" s="54">
        <v>12</v>
      </c>
      <c r="B13" s="273" t="s">
        <v>245</v>
      </c>
      <c r="C13" s="273"/>
      <c r="D13" s="273"/>
      <c r="E13" s="273"/>
      <c r="F13" s="273"/>
      <c r="G13" s="274"/>
      <c r="H13" s="45"/>
      <c r="I13" s="23"/>
      <c r="J13" s="24"/>
      <c r="K13" s="18"/>
    </row>
    <row r="14" spans="1:11" ht="23.1" customHeight="1" x14ac:dyDescent="0.45">
      <c r="A14" s="54">
        <v>13</v>
      </c>
      <c r="B14" s="273" t="s">
        <v>246</v>
      </c>
      <c r="C14" s="273"/>
      <c r="D14" s="273"/>
      <c r="E14" s="273"/>
      <c r="F14" s="273"/>
      <c r="G14" s="274"/>
      <c r="H14" s="45"/>
      <c r="I14" s="23"/>
      <c r="J14" s="24"/>
      <c r="K14" s="18"/>
    </row>
    <row r="15" spans="1:11" ht="23.1" customHeight="1" x14ac:dyDescent="0.45">
      <c r="A15" s="54">
        <v>14</v>
      </c>
      <c r="B15" s="273" t="s">
        <v>247</v>
      </c>
      <c r="C15" s="273"/>
      <c r="D15" s="273"/>
      <c r="E15" s="273"/>
      <c r="F15" s="273"/>
      <c r="G15" s="274"/>
      <c r="H15" s="45"/>
      <c r="I15" s="23"/>
      <c r="J15" s="24"/>
      <c r="K15" s="18"/>
    </row>
    <row r="16" spans="1:11" ht="23.1" customHeight="1" x14ac:dyDescent="0.45">
      <c r="A16" s="57">
        <v>15</v>
      </c>
      <c r="B16" s="273" t="s">
        <v>248</v>
      </c>
      <c r="C16" s="273"/>
      <c r="D16" s="273"/>
      <c r="E16" s="273"/>
      <c r="F16" s="273"/>
      <c r="G16" s="274"/>
      <c r="H16" s="45"/>
      <c r="I16" s="23"/>
      <c r="J16" s="24"/>
      <c r="K16" s="18"/>
    </row>
    <row r="17" spans="1:11" ht="23.1" customHeight="1" x14ac:dyDescent="0.45">
      <c r="A17" s="57">
        <v>16</v>
      </c>
      <c r="B17" s="273" t="s">
        <v>249</v>
      </c>
      <c r="C17" s="273"/>
      <c r="D17" s="273"/>
      <c r="E17" s="273"/>
      <c r="F17" s="273"/>
      <c r="G17" s="274"/>
      <c r="H17" s="47"/>
      <c r="I17" s="33"/>
      <c r="J17" s="34"/>
      <c r="K17" s="34"/>
    </row>
    <row r="18" spans="1:11" ht="23.1" customHeight="1" x14ac:dyDescent="0.45">
      <c r="A18" s="57"/>
      <c r="B18" s="265"/>
      <c r="C18" s="265"/>
      <c r="D18" s="265"/>
      <c r="E18" s="265"/>
      <c r="F18" s="265"/>
      <c r="G18" s="266"/>
      <c r="H18" s="45"/>
      <c r="I18" s="23"/>
      <c r="J18" s="18"/>
      <c r="K18" s="18"/>
    </row>
    <row r="19" spans="1:11" ht="23.1" customHeight="1" x14ac:dyDescent="0.45">
      <c r="A19" s="57"/>
      <c r="B19" s="265"/>
      <c r="C19" s="265"/>
      <c r="D19" s="265"/>
      <c r="E19" s="265"/>
      <c r="F19" s="265"/>
      <c r="G19" s="266"/>
      <c r="H19" s="45"/>
      <c r="I19" s="23"/>
      <c r="J19" s="18"/>
      <c r="K19" s="18"/>
    </row>
    <row r="20" spans="1:11" ht="23.1" customHeight="1" x14ac:dyDescent="0.45">
      <c r="A20" s="57"/>
      <c r="B20" s="265"/>
      <c r="C20" s="265"/>
      <c r="D20" s="265"/>
      <c r="E20" s="265"/>
      <c r="F20" s="265"/>
      <c r="G20" s="266"/>
      <c r="H20" s="45"/>
      <c r="I20" s="23"/>
      <c r="J20" s="18"/>
      <c r="K20" s="18"/>
    </row>
    <row r="21" spans="1:11" ht="23.1" customHeight="1" x14ac:dyDescent="0.45">
      <c r="A21" s="57"/>
      <c r="B21" s="265"/>
      <c r="C21" s="265"/>
      <c r="D21" s="265"/>
      <c r="E21" s="265"/>
      <c r="F21" s="265"/>
      <c r="G21" s="266"/>
      <c r="H21" s="48"/>
      <c r="I21" s="18"/>
      <c r="J21" s="18"/>
      <c r="K21" s="18"/>
    </row>
    <row r="22" spans="1:11" ht="23.1" customHeight="1" x14ac:dyDescent="0.45">
      <c r="A22" s="57"/>
      <c r="B22" s="265"/>
      <c r="C22" s="265"/>
      <c r="D22" s="265"/>
      <c r="E22" s="265"/>
      <c r="F22" s="265"/>
      <c r="G22" s="266"/>
      <c r="H22" s="48"/>
      <c r="I22" s="18"/>
      <c r="J22" s="18"/>
      <c r="K22" s="18"/>
    </row>
    <row r="23" spans="1:11" ht="23.4" customHeight="1" x14ac:dyDescent="0.45">
      <c r="A23" s="58"/>
      <c r="B23" s="263"/>
      <c r="C23" s="263"/>
      <c r="D23" s="263"/>
      <c r="E23" s="263"/>
      <c r="F23" s="263"/>
      <c r="G23" s="264"/>
      <c r="H23" s="48"/>
      <c r="I23" s="18"/>
      <c r="J23" s="18"/>
      <c r="K23" s="37">
        <f>SUM(K3:K20)</f>
        <v>0</v>
      </c>
    </row>
    <row r="24" spans="1:11" x14ac:dyDescent="0.45">
      <c r="I24"/>
      <c r="J24"/>
      <c r="K24"/>
    </row>
    <row r="25" spans="1:11" ht="23.1" customHeight="1" x14ac:dyDescent="0.45">
      <c r="H25" s="44" t="s">
        <v>25</v>
      </c>
      <c r="I25" s="15" t="s">
        <v>26</v>
      </c>
      <c r="J25" s="15" t="s">
        <v>42</v>
      </c>
      <c r="K25" s="15" t="s">
        <v>43</v>
      </c>
    </row>
    <row r="26" spans="1:11" ht="23.4" customHeight="1" x14ac:dyDescent="0.45">
      <c r="H26" s="48"/>
      <c r="I26" s="18"/>
      <c r="J26" s="18"/>
      <c r="K26" s="18"/>
    </row>
    <row r="27" spans="1:11" ht="23.4" customHeight="1" x14ac:dyDescent="0.45">
      <c r="H27" s="45"/>
      <c r="I27" s="23"/>
      <c r="J27" s="18"/>
      <c r="K27" s="18"/>
    </row>
    <row r="28" spans="1:11" ht="23.4" customHeight="1" x14ac:dyDescent="0.45">
      <c r="H28" s="45"/>
      <c r="I28" s="23"/>
      <c r="J28" s="18"/>
      <c r="K28" s="18"/>
    </row>
    <row r="29" spans="1:11" ht="23.4" customHeight="1" x14ac:dyDescent="0.45">
      <c r="H29" s="45"/>
      <c r="I29" s="23"/>
      <c r="J29" s="18"/>
      <c r="K29" s="18"/>
    </row>
    <row r="30" spans="1:11" ht="23.4" customHeight="1" x14ac:dyDescent="0.45">
      <c r="H30" s="45"/>
      <c r="I30" s="23"/>
      <c r="J30" s="18"/>
      <c r="K30" s="50"/>
    </row>
    <row r="31" spans="1:11" ht="23.4" customHeight="1" x14ac:dyDescent="0.45">
      <c r="H31" s="45"/>
      <c r="I31" s="23"/>
      <c r="J31" s="18"/>
      <c r="K31" s="18"/>
    </row>
    <row r="32" spans="1:11" ht="23.4" customHeight="1" x14ac:dyDescent="0.45">
      <c r="H32" s="45"/>
      <c r="I32" s="23"/>
      <c r="J32" s="18"/>
      <c r="K32" s="18"/>
    </row>
    <row r="33" spans="8:11" ht="23.4" customHeight="1" x14ac:dyDescent="0.45">
      <c r="H33" s="45"/>
      <c r="I33" s="23"/>
      <c r="J33" s="18"/>
      <c r="K33" s="18"/>
    </row>
    <row r="34" spans="8:11" ht="23.4" customHeight="1" x14ac:dyDescent="0.45">
      <c r="H34" s="45"/>
      <c r="I34" s="23"/>
      <c r="J34" s="18"/>
      <c r="K34" s="26"/>
    </row>
    <row r="35" spans="8:11" ht="23.4" customHeight="1" x14ac:dyDescent="0.45">
      <c r="H35" s="45"/>
      <c r="I35" s="23"/>
      <c r="J35" s="18"/>
      <c r="K35" s="38"/>
    </row>
    <row r="36" spans="8:11" ht="23.4" customHeight="1" x14ac:dyDescent="0.45">
      <c r="H36" s="45"/>
      <c r="I36" s="23"/>
      <c r="J36" s="39"/>
      <c r="K36" s="26"/>
    </row>
    <row r="37" spans="8:11" ht="23.4" customHeight="1" x14ac:dyDescent="0.45">
      <c r="H37" s="45"/>
      <c r="I37" s="23"/>
      <c r="J37" s="18"/>
      <c r="K37" s="18"/>
    </row>
    <row r="38" spans="8:11" ht="23.4" customHeight="1" x14ac:dyDescent="0.45">
      <c r="H38" s="45"/>
      <c r="I38" s="23"/>
      <c r="J38" s="18"/>
      <c r="K38" s="18"/>
    </row>
    <row r="39" spans="8:11" ht="23.4" customHeight="1" x14ac:dyDescent="0.45">
      <c r="H39" s="45"/>
      <c r="I39" s="23"/>
      <c r="J39" s="18"/>
      <c r="K39" s="37"/>
    </row>
    <row r="40" spans="8:11" ht="23.4" customHeight="1" x14ac:dyDescent="0.45">
      <c r="H40" s="45"/>
      <c r="I40" s="23"/>
      <c r="J40" s="18"/>
      <c r="K40" s="18"/>
    </row>
    <row r="41" spans="8:11" ht="23.4" customHeight="1" x14ac:dyDescent="0.45">
      <c r="H41" s="45"/>
      <c r="I41" s="23"/>
      <c r="J41" s="18"/>
      <c r="K41" s="18"/>
    </row>
    <row r="42" spans="8:11" ht="23.4" customHeight="1" x14ac:dyDescent="0.45">
      <c r="H42" s="45"/>
      <c r="I42" s="23"/>
      <c r="J42" s="18"/>
      <c r="K42" s="18"/>
    </row>
    <row r="43" spans="8:11" ht="23.4" customHeight="1" x14ac:dyDescent="0.45">
      <c r="H43" s="45"/>
      <c r="I43" s="23"/>
      <c r="J43" s="18"/>
      <c r="K43" s="18"/>
    </row>
    <row r="44" spans="8:11" ht="23.4" customHeight="1" x14ac:dyDescent="0.45">
      <c r="H44" s="45"/>
      <c r="I44" s="23"/>
      <c r="J44" s="18"/>
      <c r="K44" s="18"/>
    </row>
    <row r="45" spans="8:11" ht="23.4" customHeight="1" x14ac:dyDescent="0.45">
      <c r="H45" s="48"/>
      <c r="I45" s="18"/>
      <c r="J45" s="18"/>
      <c r="K45" s="18"/>
    </row>
    <row r="46" spans="8:11" ht="23.4" customHeight="1" x14ac:dyDescent="0.45">
      <c r="H46" s="48"/>
      <c r="I46" s="18"/>
      <c r="J46" s="18"/>
      <c r="K46" s="37">
        <f>K23+K39</f>
        <v>0</v>
      </c>
    </row>
  </sheetData>
  <mergeCells count="25">
    <mergeCell ref="B4:G4"/>
    <mergeCell ref="A1:G1"/>
    <mergeCell ref="H1:I1"/>
    <mergeCell ref="J1:K1"/>
    <mergeCell ref="B2:G2"/>
    <mergeCell ref="B3:G3"/>
    <mergeCell ref="B16:G16"/>
    <mergeCell ref="B5:G5"/>
    <mergeCell ref="B6:G6"/>
    <mergeCell ref="B7:G7"/>
    <mergeCell ref="B8:G8"/>
    <mergeCell ref="B9:G9"/>
    <mergeCell ref="B10:G10"/>
    <mergeCell ref="B11:H11"/>
    <mergeCell ref="B12:G12"/>
    <mergeCell ref="B13:G13"/>
    <mergeCell ref="B14:G14"/>
    <mergeCell ref="B15:G15"/>
    <mergeCell ref="B23:G23"/>
    <mergeCell ref="B17:G17"/>
    <mergeCell ref="B18:G18"/>
    <mergeCell ref="B19:G19"/>
    <mergeCell ref="B20:G20"/>
    <mergeCell ref="B21:G21"/>
    <mergeCell ref="B22:G22"/>
  </mergeCells>
  <phoneticPr fontId="3"/>
  <printOptions horizontalCentered="1" verticalCentered="1"/>
  <pageMargins left="0.23622047244094491" right="0.23622047244094491" top="0.74803149606299213" bottom="0.74803149606299213" header="0.31496062992125984" footer="0.31496062992125984"/>
  <pageSetup paperSize="9" scale="86" orientation="landscape" r:id="rId1"/>
  <headerFooter alignWithMargins="0">
    <oddHeader>&amp;R&amp;P / &amp;N ページ</oddHeader>
    <oddFooter>&amp;R株式会社 サンユウテック</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9D777-CE3A-486F-A94F-21E04633EF15}">
  <sheetPr>
    <tabColor rgb="FFFFFF00"/>
  </sheetPr>
  <dimension ref="A1:CC40"/>
  <sheetViews>
    <sheetView view="pageBreakPreview" topLeftCell="A10" zoomScaleNormal="100" zoomScaleSheetLayoutView="100" workbookViewId="0">
      <selection activeCell="B7" sqref="F7:AF7"/>
    </sheetView>
  </sheetViews>
  <sheetFormatPr defaultColWidth="2.19921875" defaultRowHeight="13.2" x14ac:dyDescent="0.45"/>
  <cols>
    <col min="1" max="1" width="2.19921875" style="1"/>
    <col min="2" max="4" width="2.69921875" style="1" customWidth="1"/>
    <col min="5" max="5" width="4.69921875" style="1" customWidth="1"/>
    <col min="6" max="6" width="3" style="1" customWidth="1"/>
    <col min="7" max="15" width="2.19921875" style="1"/>
    <col min="16" max="16" width="3" style="1" customWidth="1"/>
    <col min="17" max="16384" width="2.19921875" style="1"/>
  </cols>
  <sheetData>
    <row r="1" spans="1:81" x14ac:dyDescent="0.45">
      <c r="AS1" s="251">
        <v>45974</v>
      </c>
      <c r="AT1" s="251"/>
      <c r="AU1" s="251"/>
      <c r="AV1" s="251"/>
      <c r="AW1" s="251"/>
      <c r="AX1" s="251"/>
      <c r="AY1" s="251"/>
      <c r="AZ1" s="2"/>
    </row>
    <row r="2" spans="1:81" ht="13.5" customHeight="1" x14ac:dyDescent="0.45">
      <c r="A2" s="252"/>
      <c r="B2" s="252"/>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M2" s="252"/>
      <c r="AN2" s="252"/>
      <c r="AO2" s="252"/>
      <c r="AP2" s="252"/>
      <c r="AQ2" s="252"/>
      <c r="AR2" s="252"/>
      <c r="AS2" s="252"/>
      <c r="AT2" s="252"/>
      <c r="AU2" s="252"/>
      <c r="AV2" s="252"/>
      <c r="AW2" s="252"/>
      <c r="AX2" s="252"/>
      <c r="AY2" s="252"/>
      <c r="AZ2" s="3"/>
    </row>
    <row r="3" spans="1:81" ht="13.5" customHeight="1" x14ac:dyDescent="0.45">
      <c r="A3" s="252"/>
      <c r="B3" s="252"/>
      <c r="C3" s="252"/>
      <c r="D3" s="252"/>
      <c r="E3" s="252"/>
      <c r="F3" s="252"/>
      <c r="G3" s="252"/>
      <c r="H3" s="252"/>
      <c r="I3" s="252"/>
      <c r="J3" s="252"/>
      <c r="K3" s="252"/>
      <c r="L3" s="252"/>
      <c r="M3" s="252"/>
      <c r="N3" s="252"/>
      <c r="O3" s="252"/>
      <c r="P3" s="252"/>
      <c r="Q3" s="252"/>
      <c r="R3" s="252"/>
      <c r="S3" s="252"/>
      <c r="T3" s="252"/>
      <c r="U3" s="252"/>
      <c r="V3" s="252"/>
      <c r="W3" s="252"/>
      <c r="X3" s="252"/>
      <c r="Y3" s="252"/>
      <c r="Z3" s="252"/>
      <c r="AA3" s="252"/>
      <c r="AB3" s="252"/>
      <c r="AC3" s="252"/>
      <c r="AD3" s="252"/>
      <c r="AE3" s="252"/>
      <c r="AF3" s="252"/>
      <c r="AG3" s="252"/>
      <c r="AH3" s="252"/>
      <c r="AI3" s="252"/>
      <c r="AJ3" s="252"/>
      <c r="AK3" s="252"/>
      <c r="AL3" s="252"/>
      <c r="AM3" s="252"/>
      <c r="AN3" s="252"/>
      <c r="AO3" s="252"/>
      <c r="AP3" s="252"/>
      <c r="AQ3" s="252"/>
      <c r="AR3" s="252"/>
      <c r="AS3" s="252"/>
      <c r="AT3" s="252"/>
      <c r="AU3" s="252"/>
      <c r="AV3" s="252"/>
      <c r="AW3" s="252"/>
      <c r="AX3" s="252"/>
      <c r="AY3" s="252"/>
      <c r="AZ3" s="3"/>
    </row>
    <row r="4" spans="1:81" ht="13.5" customHeight="1" x14ac:dyDescent="0.45">
      <c r="B4" s="253" t="s">
        <v>273</v>
      </c>
      <c r="C4" s="253"/>
      <c r="D4" s="253"/>
      <c r="E4" s="253"/>
      <c r="F4" s="253"/>
      <c r="G4" s="253"/>
      <c r="H4" s="253"/>
      <c r="I4" s="253"/>
      <c r="J4" s="253"/>
      <c r="K4" s="253"/>
      <c r="L4" s="253"/>
      <c r="M4" s="253"/>
      <c r="N4" s="253"/>
      <c r="O4" s="253"/>
      <c r="P4" s="253"/>
      <c r="Q4" s="255" t="s">
        <v>0</v>
      </c>
      <c r="R4" s="255"/>
      <c r="S4" s="255"/>
      <c r="T4" s="255"/>
    </row>
    <row r="5" spans="1:81" ht="14.25" customHeight="1" thickBot="1" x14ac:dyDescent="0.25">
      <c r="B5" s="254"/>
      <c r="C5" s="254"/>
      <c r="D5" s="254"/>
      <c r="E5" s="254"/>
      <c r="F5" s="254"/>
      <c r="G5" s="254"/>
      <c r="H5" s="254"/>
      <c r="I5" s="254"/>
      <c r="J5" s="254"/>
      <c r="K5" s="254"/>
      <c r="L5" s="254"/>
      <c r="M5" s="254"/>
      <c r="N5" s="254"/>
      <c r="O5" s="254"/>
      <c r="P5" s="254"/>
      <c r="Q5" s="255"/>
      <c r="R5" s="255"/>
      <c r="S5" s="255"/>
      <c r="T5" s="255"/>
      <c r="AK5" s="4"/>
      <c r="AL5" s="4"/>
      <c r="AM5" s="4"/>
      <c r="AN5" s="4"/>
      <c r="AO5" s="4"/>
      <c r="AP5" s="4"/>
      <c r="AQ5" s="4"/>
      <c r="AR5" s="4"/>
      <c r="AS5" s="4"/>
      <c r="AT5" s="4"/>
      <c r="AU5" s="4"/>
      <c r="AV5" s="4"/>
      <c r="AW5" s="4"/>
      <c r="AX5" s="4"/>
      <c r="AY5" s="4"/>
    </row>
    <row r="6" spans="1:81" ht="9.75" customHeight="1" x14ac:dyDescent="0.2">
      <c r="B6" s="5"/>
      <c r="C6" s="5"/>
      <c r="D6" s="5"/>
      <c r="E6" s="5"/>
      <c r="F6" s="5"/>
      <c r="G6" s="5"/>
      <c r="H6" s="5"/>
      <c r="I6" s="5"/>
      <c r="J6" s="5"/>
      <c r="K6" s="5"/>
      <c r="L6" s="5"/>
      <c r="M6" s="5"/>
      <c r="N6" s="5"/>
      <c r="O6" s="5"/>
      <c r="P6" s="5"/>
      <c r="Q6" s="5"/>
      <c r="R6" s="5"/>
      <c r="S6" s="5"/>
      <c r="T6" s="5"/>
      <c r="AK6" s="4"/>
      <c r="AL6" s="4"/>
      <c r="AM6" s="4"/>
      <c r="AN6" s="4"/>
      <c r="AO6" s="4"/>
      <c r="AP6" s="4"/>
      <c r="AQ6" s="4"/>
      <c r="AR6" s="4"/>
      <c r="AS6" s="4"/>
      <c r="AT6" s="4"/>
      <c r="AU6" s="4"/>
      <c r="AV6" s="4"/>
      <c r="AW6" s="4"/>
      <c r="AX6" s="4"/>
      <c r="AY6" s="4"/>
      <c r="BP6" s="6"/>
      <c r="BQ6" s="6"/>
      <c r="BR6" s="6"/>
      <c r="BS6" s="6"/>
      <c r="BT6" s="6"/>
      <c r="BU6" s="6"/>
      <c r="BV6" s="6"/>
      <c r="BW6" s="6"/>
      <c r="BX6" s="6"/>
      <c r="BY6" s="6"/>
      <c r="BZ6" s="6"/>
      <c r="CA6" s="6"/>
      <c r="CB6" s="6"/>
      <c r="CC6" s="6"/>
    </row>
    <row r="7" spans="1:81" ht="13.5" customHeight="1" x14ac:dyDescent="0.15">
      <c r="B7" s="256" t="s">
        <v>1</v>
      </c>
      <c r="C7" s="256"/>
      <c r="D7" s="256"/>
      <c r="E7" s="256"/>
      <c r="F7" s="257" t="s">
        <v>252</v>
      </c>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K7" s="7"/>
      <c r="AL7" s="7"/>
      <c r="AM7" s="7"/>
      <c r="AN7" s="7"/>
      <c r="AO7" s="7"/>
      <c r="AP7" s="7"/>
      <c r="AQ7" s="7"/>
      <c r="AR7" s="7"/>
      <c r="AS7" s="7"/>
      <c r="AT7" s="7"/>
      <c r="AU7" s="7"/>
      <c r="AV7" s="7"/>
      <c r="AW7" s="7"/>
      <c r="AX7" s="7"/>
      <c r="AY7" s="7"/>
      <c r="BA7" s="1" t="str">
        <f>F7</f>
        <v>広島自動車道（特定更新等）烏帽子第三橋他1橋床版取替工事</v>
      </c>
      <c r="BP7" s="6"/>
      <c r="BQ7" s="6"/>
      <c r="BR7" s="6"/>
      <c r="BS7" s="6"/>
      <c r="BT7" s="6"/>
      <c r="BU7" s="6"/>
      <c r="BV7" s="6"/>
      <c r="BW7" s="6"/>
      <c r="BX7" s="6"/>
      <c r="BY7" s="6"/>
      <c r="BZ7" s="6"/>
      <c r="CA7" s="6"/>
      <c r="CB7" s="6"/>
      <c r="CC7" s="6"/>
    </row>
    <row r="8" spans="1:81" ht="13.5" customHeight="1" x14ac:dyDescent="0.15">
      <c r="B8" s="246" t="s">
        <v>2</v>
      </c>
      <c r="C8" s="246"/>
      <c r="D8" s="246"/>
      <c r="E8" s="246"/>
      <c r="F8" s="246" t="s">
        <v>253</v>
      </c>
      <c r="G8" s="246"/>
      <c r="H8" s="246"/>
      <c r="I8" s="246"/>
      <c r="J8" s="246"/>
      <c r="K8" s="246"/>
      <c r="L8" s="246"/>
      <c r="M8" s="246"/>
      <c r="N8" s="246"/>
      <c r="O8" s="246"/>
      <c r="P8" s="246"/>
      <c r="Q8" s="246"/>
      <c r="R8" s="246"/>
      <c r="S8" s="246"/>
      <c r="T8" s="246"/>
      <c r="U8" s="246"/>
      <c r="V8" s="246"/>
      <c r="W8" s="246"/>
      <c r="X8" s="246"/>
      <c r="Y8" s="246"/>
      <c r="Z8" s="246"/>
      <c r="AA8" s="8"/>
      <c r="AB8" s="8"/>
      <c r="AC8" s="8"/>
      <c r="AD8" s="8"/>
      <c r="AK8" s="7"/>
      <c r="AL8" s="7"/>
      <c r="AM8" s="7"/>
      <c r="AN8" s="7"/>
      <c r="AO8" s="7"/>
      <c r="AP8" s="7"/>
      <c r="AQ8" s="7"/>
      <c r="AR8" s="7"/>
      <c r="AS8" s="7"/>
      <c r="AT8" s="7"/>
      <c r="AU8" s="7"/>
      <c r="AV8" s="7"/>
      <c r="AW8" s="7"/>
      <c r="AX8" s="7"/>
      <c r="AY8" s="7"/>
    </row>
    <row r="9" spans="1:81" ht="13.5" customHeight="1" x14ac:dyDescent="0.15">
      <c r="B9" s="246" t="s">
        <v>3</v>
      </c>
      <c r="C9" s="246"/>
      <c r="D9" s="246"/>
      <c r="E9" s="246"/>
      <c r="F9" s="9" t="s">
        <v>4</v>
      </c>
      <c r="G9" s="250"/>
      <c r="H9" s="250"/>
      <c r="I9" s="250"/>
      <c r="J9" s="250"/>
      <c r="K9" s="250"/>
      <c r="L9" s="250"/>
      <c r="M9" s="250"/>
      <c r="N9" s="250"/>
      <c r="O9" s="250"/>
      <c r="P9" s="9" t="s">
        <v>5</v>
      </c>
      <c r="Q9" s="250"/>
      <c r="R9" s="250"/>
      <c r="S9" s="250"/>
      <c r="T9" s="250"/>
      <c r="U9" s="250"/>
      <c r="V9" s="250"/>
      <c r="W9" s="250"/>
      <c r="X9" s="250"/>
      <c r="Y9" s="250"/>
      <c r="Z9" s="250"/>
      <c r="AA9" s="8"/>
      <c r="AB9" s="8"/>
      <c r="AC9" s="8"/>
      <c r="AD9" s="8"/>
      <c r="AK9" s="7"/>
      <c r="AL9" s="7"/>
      <c r="AM9" s="7"/>
      <c r="AN9" s="7"/>
      <c r="AO9" s="7"/>
      <c r="AP9" s="7"/>
      <c r="AQ9" s="7"/>
      <c r="AR9" s="7"/>
      <c r="AS9" s="7"/>
      <c r="AT9" s="7"/>
      <c r="AU9" s="7"/>
      <c r="AV9" s="7"/>
      <c r="AW9" s="7"/>
      <c r="AX9" s="7"/>
      <c r="AY9" s="7"/>
    </row>
    <row r="10" spans="1:81" ht="13.5" customHeight="1" x14ac:dyDescent="0.45">
      <c r="B10" s="246" t="s">
        <v>6</v>
      </c>
      <c r="C10" s="246"/>
      <c r="D10" s="246"/>
      <c r="E10" s="246"/>
      <c r="F10" s="246" t="s">
        <v>7</v>
      </c>
      <c r="G10" s="246"/>
      <c r="H10" s="246"/>
      <c r="I10" s="246"/>
      <c r="J10" s="246"/>
      <c r="K10" s="246"/>
      <c r="L10" s="246"/>
      <c r="M10" s="246"/>
      <c r="N10" s="246"/>
      <c r="O10" s="246"/>
      <c r="P10" s="246"/>
      <c r="Q10" s="246"/>
      <c r="R10" s="246"/>
      <c r="S10" s="246"/>
      <c r="T10" s="246"/>
      <c r="U10" s="246"/>
      <c r="V10" s="246"/>
      <c r="W10" s="246"/>
      <c r="X10" s="246"/>
      <c r="Y10" s="246"/>
      <c r="Z10" s="246"/>
      <c r="AA10" s="8"/>
      <c r="AB10" s="8"/>
      <c r="AC10" s="8"/>
      <c r="AD10" s="8"/>
      <c r="AK10" s="10"/>
      <c r="AL10" s="10"/>
      <c r="AM10" s="10"/>
      <c r="AN10" s="10"/>
      <c r="AO10" s="10"/>
      <c r="AP10" s="10"/>
      <c r="AQ10" s="10"/>
      <c r="AR10" s="10"/>
      <c r="AS10" s="10"/>
      <c r="AT10" s="10"/>
      <c r="AU10" s="10"/>
      <c r="AV10" s="10"/>
      <c r="AW10" s="10"/>
      <c r="AX10" s="10"/>
      <c r="AY10" s="10"/>
    </row>
    <row r="11" spans="1:81" ht="13.5" customHeight="1" x14ac:dyDescent="0.45">
      <c r="B11" s="246" t="s">
        <v>8</v>
      </c>
      <c r="C11" s="246"/>
      <c r="D11" s="246"/>
      <c r="E11" s="246"/>
      <c r="F11" s="246" t="s">
        <v>9</v>
      </c>
      <c r="G11" s="246"/>
      <c r="H11" s="246"/>
      <c r="I11" s="246"/>
      <c r="J11" s="246"/>
      <c r="K11" s="246"/>
      <c r="L11" s="246"/>
      <c r="M11" s="246"/>
      <c r="N11" s="246"/>
      <c r="O11" s="246"/>
      <c r="P11" s="246"/>
      <c r="Q11" s="246"/>
      <c r="R11" s="246"/>
      <c r="S11" s="246"/>
      <c r="T11" s="246"/>
      <c r="U11" s="246"/>
      <c r="V11" s="246"/>
      <c r="W11" s="246"/>
      <c r="X11" s="246"/>
      <c r="Y11" s="246"/>
      <c r="Z11" s="246"/>
      <c r="AA11" s="11"/>
      <c r="AB11" s="11"/>
      <c r="AC11" s="11"/>
      <c r="AD11" s="11"/>
      <c r="AK11" s="10"/>
      <c r="AL11" s="10"/>
      <c r="AM11" s="10"/>
      <c r="AN11" s="10"/>
      <c r="AO11" s="10"/>
      <c r="AP11" s="10"/>
      <c r="AQ11" s="10"/>
      <c r="AR11" s="10"/>
      <c r="AS11" s="10"/>
      <c r="AT11" s="10"/>
      <c r="AU11" s="10"/>
      <c r="AV11" s="10"/>
      <c r="AW11" s="10"/>
      <c r="AX11" s="10"/>
      <c r="AY11" s="10"/>
    </row>
    <row r="12" spans="1:81" ht="13.5" customHeight="1" x14ac:dyDescent="0.45">
      <c r="B12" s="246" t="s">
        <v>10</v>
      </c>
      <c r="C12" s="246"/>
      <c r="D12" s="246"/>
      <c r="E12" s="246"/>
      <c r="F12" s="246" t="s">
        <v>11</v>
      </c>
      <c r="G12" s="246"/>
      <c r="H12" s="246"/>
      <c r="I12" s="246"/>
      <c r="J12" s="246"/>
      <c r="K12" s="246"/>
      <c r="L12" s="246"/>
      <c r="M12" s="246"/>
      <c r="N12" s="246"/>
      <c r="O12" s="246"/>
      <c r="P12" s="246"/>
      <c r="Q12" s="246"/>
      <c r="R12" s="246"/>
      <c r="S12" s="246"/>
      <c r="T12" s="246"/>
      <c r="U12" s="246"/>
      <c r="V12" s="246"/>
      <c r="W12" s="246"/>
      <c r="X12" s="246"/>
      <c r="Y12" s="246"/>
      <c r="Z12" s="246"/>
      <c r="AA12" s="11"/>
      <c r="AB12" s="11"/>
      <c r="AC12" s="11"/>
      <c r="AD12" s="11"/>
      <c r="AK12" s="10"/>
      <c r="AL12" s="10"/>
      <c r="AM12" s="10"/>
      <c r="AN12" s="10"/>
      <c r="AO12" s="10"/>
      <c r="AP12" s="10"/>
      <c r="AQ12" s="10"/>
      <c r="AR12" s="10"/>
      <c r="AS12" s="10"/>
      <c r="AT12" s="10"/>
      <c r="AU12" s="10"/>
      <c r="AV12" s="10"/>
      <c r="AW12" s="10"/>
      <c r="AX12" s="10"/>
      <c r="AY12" s="10"/>
    </row>
    <row r="13" spans="1:81" ht="13.5" customHeight="1" x14ac:dyDescent="0.45">
      <c r="B13" s="246" t="s">
        <v>12</v>
      </c>
      <c r="C13" s="246"/>
      <c r="D13" s="246"/>
      <c r="E13" s="246"/>
      <c r="F13" s="246" t="s">
        <v>13</v>
      </c>
      <c r="G13" s="246"/>
      <c r="H13" s="246"/>
      <c r="I13" s="246"/>
      <c r="J13" s="246"/>
      <c r="K13" s="246"/>
      <c r="L13" s="246"/>
      <c r="M13" s="246"/>
      <c r="N13" s="246"/>
      <c r="O13" s="246"/>
      <c r="P13" s="246"/>
      <c r="Q13" s="246"/>
      <c r="R13" s="246"/>
      <c r="S13" s="246"/>
      <c r="T13" s="246"/>
      <c r="U13" s="246"/>
      <c r="V13" s="246"/>
      <c r="W13" s="246"/>
      <c r="X13" s="246"/>
      <c r="Y13" s="246"/>
      <c r="Z13" s="246"/>
      <c r="AA13" s="11"/>
      <c r="AB13" s="11"/>
      <c r="AC13" s="11"/>
      <c r="AD13" s="11"/>
      <c r="AK13" s="10"/>
      <c r="AL13" s="10"/>
      <c r="AM13" s="10"/>
      <c r="AN13" s="10"/>
      <c r="AO13" s="10"/>
      <c r="AP13" s="10"/>
      <c r="AQ13" s="10"/>
      <c r="AR13" s="10"/>
      <c r="AS13" s="10"/>
      <c r="AT13" s="10"/>
      <c r="AU13" s="10"/>
      <c r="AV13" s="10"/>
      <c r="AW13" s="10"/>
      <c r="AX13" s="10"/>
      <c r="AY13" s="10"/>
    </row>
    <row r="14" spans="1:81" ht="13.5" customHeight="1" x14ac:dyDescent="0.45">
      <c r="B14" s="246" t="s">
        <v>14</v>
      </c>
      <c r="C14" s="246"/>
      <c r="D14" s="246"/>
      <c r="E14" s="246"/>
      <c r="F14" s="246" t="s">
        <v>128</v>
      </c>
      <c r="G14" s="246"/>
      <c r="H14" s="246"/>
      <c r="I14" s="246"/>
      <c r="J14" s="246"/>
      <c r="K14" s="246"/>
      <c r="L14" s="246"/>
      <c r="M14" s="246"/>
      <c r="N14" s="246"/>
      <c r="O14" s="246"/>
      <c r="P14" s="246"/>
      <c r="Q14" s="246"/>
      <c r="R14" s="246"/>
      <c r="S14" s="246"/>
      <c r="T14" s="246"/>
      <c r="U14" s="246"/>
      <c r="V14" s="246"/>
      <c r="W14" s="246"/>
      <c r="X14" s="246"/>
      <c r="Y14" s="246"/>
      <c r="Z14" s="246"/>
      <c r="AA14" s="11"/>
      <c r="AB14" s="11"/>
      <c r="AC14" s="11"/>
      <c r="AD14" s="11"/>
      <c r="AK14" s="10"/>
      <c r="AL14" s="10"/>
      <c r="AM14" s="10"/>
      <c r="AN14" s="10"/>
      <c r="AO14" s="10"/>
      <c r="AP14" s="10"/>
      <c r="AQ14" s="10"/>
      <c r="AR14" s="10"/>
      <c r="AS14" s="10"/>
      <c r="AT14" s="10"/>
      <c r="AU14" s="10"/>
      <c r="AV14" s="10"/>
      <c r="AW14" s="10"/>
      <c r="AX14" s="10"/>
      <c r="AY14" s="10"/>
    </row>
    <row r="15" spans="1:81" ht="12" customHeight="1" x14ac:dyDescent="0.45"/>
    <row r="16" spans="1:81" ht="14.25" customHeight="1" x14ac:dyDescent="0.45">
      <c r="B16" s="12" t="s">
        <v>16</v>
      </c>
    </row>
    <row r="17" spans="2:61" ht="14.25" customHeight="1" x14ac:dyDescent="0.45">
      <c r="B17" s="12" t="s">
        <v>17</v>
      </c>
    </row>
    <row r="18" spans="2:61" ht="14.25" customHeight="1" x14ac:dyDescent="0.45">
      <c r="B18" s="12" t="s">
        <v>18</v>
      </c>
    </row>
    <row r="19" spans="2:61" ht="14.25" customHeight="1" x14ac:dyDescent="0.45">
      <c r="B19" s="12"/>
      <c r="AG19" s="215" t="s">
        <v>233</v>
      </c>
      <c r="AH19" s="215"/>
      <c r="AI19" s="215"/>
      <c r="AJ19" s="215"/>
      <c r="AK19" s="215"/>
      <c r="AL19" s="215"/>
      <c r="AM19" s="215"/>
      <c r="AN19" s="215"/>
      <c r="AO19" s="215"/>
      <c r="AP19" s="215"/>
      <c r="AQ19" s="215"/>
      <c r="AR19" s="215"/>
      <c r="AS19" s="215"/>
    </row>
    <row r="20" spans="2:61" x14ac:dyDescent="0.45">
      <c r="B20" s="247" t="s">
        <v>19</v>
      </c>
      <c r="C20" s="247"/>
      <c r="D20" s="247"/>
      <c r="E20" s="247"/>
      <c r="F20" s="247"/>
      <c r="G20" s="247"/>
      <c r="H20" s="247"/>
      <c r="I20" s="247"/>
      <c r="J20" s="247"/>
      <c r="K20" s="247"/>
      <c r="L20" s="247"/>
      <c r="M20" s="247"/>
      <c r="N20" s="247"/>
      <c r="O20" s="247"/>
      <c r="P20" s="247"/>
      <c r="Q20" s="247"/>
      <c r="R20" s="247"/>
      <c r="S20" s="247"/>
      <c r="T20" s="247"/>
      <c r="U20" s="248">
        <f>AL39</f>
        <v>4583001.0399999991</v>
      </c>
      <c r="V20" s="248"/>
      <c r="W20" s="248"/>
      <c r="X20" s="248"/>
      <c r="Y20" s="248"/>
      <c r="Z20" s="248"/>
      <c r="AA20" s="248"/>
      <c r="AB20" s="248"/>
      <c r="AC20" s="248"/>
      <c r="AD20" s="248"/>
      <c r="AG20" s="215"/>
      <c r="AH20" s="215"/>
      <c r="AI20" s="215"/>
      <c r="AJ20" s="215"/>
      <c r="AK20" s="215"/>
      <c r="AL20" s="215"/>
      <c r="AM20" s="215"/>
      <c r="AN20" s="215"/>
      <c r="AO20" s="215"/>
      <c r="AP20" s="215"/>
      <c r="AQ20" s="215"/>
      <c r="AR20" s="215"/>
      <c r="AS20" s="215"/>
      <c r="AT20" s="10"/>
      <c r="AU20" s="10"/>
      <c r="AV20" s="10"/>
      <c r="AW20" s="10"/>
      <c r="AX20" s="10"/>
      <c r="AY20" s="10"/>
    </row>
    <row r="21" spans="2:61" x14ac:dyDescent="0.45">
      <c r="B21" s="247" t="s">
        <v>20</v>
      </c>
      <c r="C21" s="247"/>
      <c r="D21" s="247"/>
      <c r="E21" s="247"/>
      <c r="F21" s="247"/>
      <c r="G21" s="247"/>
      <c r="H21" s="247"/>
      <c r="I21" s="247"/>
      <c r="J21" s="247"/>
      <c r="K21" s="247"/>
      <c r="L21" s="247"/>
      <c r="M21" s="247"/>
      <c r="N21" s="247"/>
      <c r="O21" s="247"/>
      <c r="P21" s="247"/>
      <c r="Q21" s="247"/>
      <c r="R21" s="247"/>
      <c r="S21" s="247"/>
      <c r="T21" s="247"/>
      <c r="U21" s="249">
        <f>U20*0.1</f>
        <v>458300.10399999993</v>
      </c>
      <c r="V21" s="249"/>
      <c r="W21" s="249"/>
      <c r="X21" s="249"/>
      <c r="Y21" s="249"/>
      <c r="Z21" s="249"/>
      <c r="AA21" s="249"/>
      <c r="AB21" s="249"/>
      <c r="AC21" s="249"/>
      <c r="AD21" s="249"/>
      <c r="AG21" s="215"/>
      <c r="AH21" s="215"/>
      <c r="AI21" s="215"/>
      <c r="AJ21" s="215"/>
      <c r="AK21" s="215"/>
      <c r="AL21" s="215"/>
      <c r="AM21" s="215"/>
      <c r="AN21" s="215"/>
      <c r="AO21" s="215"/>
      <c r="AP21" s="215"/>
      <c r="AQ21" s="215"/>
      <c r="AR21" s="215"/>
      <c r="AS21" s="215"/>
      <c r="AT21" s="10"/>
      <c r="AU21" s="10"/>
      <c r="AV21" s="10"/>
      <c r="AW21" s="10"/>
      <c r="AX21" s="12"/>
      <c r="AY21" s="12"/>
    </row>
    <row r="22" spans="2:61" x14ac:dyDescent="0.45">
      <c r="B22" s="242" t="s">
        <v>21</v>
      </c>
      <c r="C22" s="242"/>
      <c r="D22" s="242"/>
      <c r="E22" s="242"/>
      <c r="F22" s="242"/>
      <c r="G22" s="242"/>
      <c r="H22" s="242"/>
      <c r="I22" s="242"/>
      <c r="J22" s="242"/>
      <c r="K22" s="242"/>
      <c r="L22" s="242"/>
      <c r="M22" s="242"/>
      <c r="N22" s="242"/>
      <c r="O22" s="242"/>
      <c r="P22" s="242"/>
      <c r="Q22" s="242"/>
      <c r="R22" s="242"/>
      <c r="S22" s="242"/>
      <c r="T22" s="242"/>
      <c r="U22" s="244">
        <f>ROUND(U20*1.1,0)</f>
        <v>5041301</v>
      </c>
      <c r="V22" s="244"/>
      <c r="W22" s="244"/>
      <c r="X22" s="244"/>
      <c r="Y22" s="244"/>
      <c r="Z22" s="244"/>
      <c r="AA22" s="244"/>
      <c r="AB22" s="244"/>
      <c r="AC22" s="244"/>
      <c r="AD22" s="244"/>
      <c r="AG22" s="215"/>
      <c r="AH22" s="215"/>
      <c r="AI22" s="215"/>
      <c r="AJ22" s="215"/>
      <c r="AK22" s="215"/>
      <c r="AL22" s="215"/>
      <c r="AM22" s="215"/>
      <c r="AN22" s="215"/>
      <c r="AO22" s="215"/>
      <c r="AP22" s="215"/>
      <c r="AQ22" s="215"/>
      <c r="AR22" s="215"/>
      <c r="AS22" s="215"/>
      <c r="AT22" s="10"/>
      <c r="AU22" s="10"/>
      <c r="AV22" s="10"/>
      <c r="AW22" s="10"/>
    </row>
    <row r="23" spans="2:61" ht="13.8" thickBot="1" x14ac:dyDescent="0.5">
      <c r="B23" s="243"/>
      <c r="C23" s="243"/>
      <c r="D23" s="243"/>
      <c r="E23" s="243"/>
      <c r="F23" s="243"/>
      <c r="G23" s="243"/>
      <c r="H23" s="243"/>
      <c r="I23" s="243"/>
      <c r="J23" s="243"/>
      <c r="K23" s="243"/>
      <c r="L23" s="243"/>
      <c r="M23" s="243"/>
      <c r="N23" s="243"/>
      <c r="O23" s="243"/>
      <c r="P23" s="243"/>
      <c r="Q23" s="243"/>
      <c r="R23" s="243"/>
      <c r="S23" s="243"/>
      <c r="T23" s="243"/>
      <c r="U23" s="245"/>
      <c r="V23" s="245"/>
      <c r="W23" s="245"/>
      <c r="X23" s="245"/>
      <c r="Y23" s="245"/>
      <c r="Z23" s="245"/>
      <c r="AA23" s="245"/>
      <c r="AB23" s="245"/>
      <c r="AC23" s="245"/>
      <c r="AD23" s="245"/>
      <c r="AG23" s="215"/>
      <c r="AH23" s="215"/>
      <c r="AI23" s="215"/>
      <c r="AJ23" s="215"/>
      <c r="AK23" s="215"/>
      <c r="AL23" s="215"/>
      <c r="AM23" s="215"/>
      <c r="AN23" s="215"/>
      <c r="AO23" s="215"/>
      <c r="AP23" s="215"/>
      <c r="AQ23" s="215"/>
      <c r="AR23" s="215"/>
      <c r="AS23" s="215"/>
      <c r="AT23" s="10"/>
      <c r="AU23" s="10"/>
      <c r="AV23" s="10"/>
      <c r="AW23" s="10"/>
    </row>
    <row r="24" spans="2:61" ht="14.25" customHeight="1" thickTop="1" thickBot="1" x14ac:dyDescent="0.5">
      <c r="B24" s="12"/>
    </row>
    <row r="25" spans="2:61" ht="13.8" thickBot="1" x14ac:dyDescent="0.5">
      <c r="B25" s="323" t="s">
        <v>22</v>
      </c>
      <c r="C25" s="317"/>
      <c r="D25" s="316" t="s">
        <v>23</v>
      </c>
      <c r="E25" s="318"/>
      <c r="F25" s="318"/>
      <c r="G25" s="318"/>
      <c r="H25" s="318"/>
      <c r="I25" s="318"/>
      <c r="J25" s="318"/>
      <c r="K25" s="317"/>
      <c r="L25" s="316" t="s">
        <v>24</v>
      </c>
      <c r="M25" s="318"/>
      <c r="N25" s="318"/>
      <c r="O25" s="318"/>
      <c r="P25" s="318"/>
      <c r="Q25" s="318"/>
      <c r="R25" s="318"/>
      <c r="S25" s="318"/>
      <c r="T25" s="318"/>
      <c r="U25" s="318"/>
      <c r="V25" s="318"/>
      <c r="W25" s="318"/>
      <c r="X25" s="318"/>
      <c r="Y25" s="318"/>
      <c r="Z25" s="318"/>
      <c r="AA25" s="318"/>
      <c r="AB25" s="317"/>
      <c r="AC25" s="316" t="s">
        <v>25</v>
      </c>
      <c r="AD25" s="318"/>
      <c r="AE25" s="317"/>
      <c r="AF25" s="316" t="s">
        <v>26</v>
      </c>
      <c r="AG25" s="317"/>
      <c r="AH25" s="316" t="s">
        <v>27</v>
      </c>
      <c r="AI25" s="318"/>
      <c r="AJ25" s="318"/>
      <c r="AK25" s="317"/>
      <c r="AL25" s="316" t="s">
        <v>28</v>
      </c>
      <c r="AM25" s="318"/>
      <c r="AN25" s="318"/>
      <c r="AO25" s="318"/>
      <c r="AP25" s="318"/>
      <c r="AQ25" s="318"/>
      <c r="AR25" s="317"/>
      <c r="AS25" s="319" t="s">
        <v>29</v>
      </c>
      <c r="AT25" s="318"/>
      <c r="AU25" s="318"/>
      <c r="AV25" s="318"/>
      <c r="AW25" s="318"/>
      <c r="AX25" s="318"/>
      <c r="AY25" s="320"/>
    </row>
    <row r="26" spans="2:61" ht="13.8" thickTop="1" x14ac:dyDescent="0.45">
      <c r="B26" s="321"/>
      <c r="C26" s="195"/>
      <c r="D26" s="193" t="s">
        <v>129</v>
      </c>
      <c r="E26" s="194"/>
      <c r="F26" s="194"/>
      <c r="G26" s="194"/>
      <c r="H26" s="194"/>
      <c r="I26" s="194"/>
      <c r="J26" s="194"/>
      <c r="K26" s="195"/>
      <c r="L26" s="196" t="s">
        <v>130</v>
      </c>
      <c r="M26" s="197"/>
      <c r="N26" s="197"/>
      <c r="O26" s="197"/>
      <c r="P26" s="197"/>
      <c r="Q26" s="197"/>
      <c r="R26" s="197"/>
      <c r="S26" s="197"/>
      <c r="T26" s="197"/>
      <c r="U26" s="197"/>
      <c r="V26" s="197"/>
      <c r="W26" s="197"/>
      <c r="X26" s="197"/>
      <c r="Y26" s="197"/>
      <c r="Z26" s="197"/>
      <c r="AA26" s="197"/>
      <c r="AB26" s="198"/>
      <c r="AC26" s="199"/>
      <c r="AD26" s="200"/>
      <c r="AE26" s="201"/>
      <c r="AF26" s="202"/>
      <c r="AG26" s="195"/>
      <c r="AH26" s="236"/>
      <c r="AI26" s="237"/>
      <c r="AJ26" s="237"/>
      <c r="AK26" s="238"/>
      <c r="AL26" s="186"/>
      <c r="AM26" s="187"/>
      <c r="AN26" s="187"/>
      <c r="AO26" s="187"/>
      <c r="AP26" s="187"/>
      <c r="AQ26" s="187"/>
      <c r="AR26" s="188"/>
      <c r="AS26" s="239"/>
      <c r="AT26" s="240"/>
      <c r="AU26" s="240"/>
      <c r="AV26" s="240"/>
      <c r="AW26" s="240"/>
      <c r="AX26" s="240"/>
      <c r="AY26" s="322"/>
    </row>
    <row r="27" spans="2:61" x14ac:dyDescent="0.45">
      <c r="B27" s="315">
        <v>1</v>
      </c>
      <c r="C27" s="191"/>
      <c r="D27" s="216" t="s">
        <v>131</v>
      </c>
      <c r="E27" s="217"/>
      <c r="F27" s="217"/>
      <c r="G27" s="217"/>
      <c r="H27" s="217"/>
      <c r="I27" s="217"/>
      <c r="J27" s="217"/>
      <c r="K27" s="218"/>
      <c r="L27" s="196" t="s">
        <v>132</v>
      </c>
      <c r="M27" s="197"/>
      <c r="N27" s="197"/>
      <c r="O27" s="197"/>
      <c r="P27" s="197"/>
      <c r="Q27" s="197"/>
      <c r="R27" s="197"/>
      <c r="S27" s="197"/>
      <c r="T27" s="197"/>
      <c r="U27" s="197"/>
      <c r="V27" s="197"/>
      <c r="W27" s="197"/>
      <c r="X27" s="197"/>
      <c r="Y27" s="197"/>
      <c r="Z27" s="197"/>
      <c r="AA27" s="197"/>
      <c r="AB27" s="198"/>
      <c r="AC27" s="220">
        <v>1</v>
      </c>
      <c r="AD27" s="221"/>
      <c r="AE27" s="222"/>
      <c r="AF27" s="202" t="s">
        <v>133</v>
      </c>
      <c r="AG27" s="195"/>
      <c r="AH27" s="212">
        <f>'舗装関連　内訳書'!F19</f>
        <v>570000.4</v>
      </c>
      <c r="AI27" s="213"/>
      <c r="AJ27" s="213"/>
      <c r="AK27" s="214"/>
      <c r="AL27" s="186">
        <f>SUM(AC27*AH27)</f>
        <v>570000.4</v>
      </c>
      <c r="AM27" s="187"/>
      <c r="AN27" s="187"/>
      <c r="AO27" s="187"/>
      <c r="AP27" s="187"/>
      <c r="AQ27" s="187"/>
      <c r="AR27" s="188"/>
      <c r="AS27" s="189"/>
      <c r="AT27" s="190"/>
      <c r="AU27" s="190"/>
      <c r="AV27" s="190"/>
      <c r="AW27" s="190"/>
      <c r="AX27" s="190"/>
      <c r="AY27" s="314"/>
    </row>
    <row r="28" spans="2:61" x14ac:dyDescent="0.45">
      <c r="B28" s="315">
        <v>2</v>
      </c>
      <c r="C28" s="191"/>
      <c r="D28" s="216" t="s">
        <v>131</v>
      </c>
      <c r="E28" s="217"/>
      <c r="F28" s="217"/>
      <c r="G28" s="217"/>
      <c r="H28" s="217"/>
      <c r="I28" s="217"/>
      <c r="J28" s="217"/>
      <c r="K28" s="218"/>
      <c r="L28" s="196" t="s">
        <v>134</v>
      </c>
      <c r="M28" s="197"/>
      <c r="N28" s="197"/>
      <c r="O28" s="197"/>
      <c r="P28" s="197"/>
      <c r="Q28" s="197"/>
      <c r="R28" s="197"/>
      <c r="S28" s="197"/>
      <c r="T28" s="197"/>
      <c r="U28" s="197"/>
      <c r="V28" s="197"/>
      <c r="W28" s="197"/>
      <c r="X28" s="197"/>
      <c r="Y28" s="197"/>
      <c r="Z28" s="197"/>
      <c r="AA28" s="197"/>
      <c r="AB28" s="198"/>
      <c r="AC28" s="220">
        <v>1</v>
      </c>
      <c r="AD28" s="221"/>
      <c r="AE28" s="222"/>
      <c r="AF28" s="202" t="s">
        <v>133</v>
      </c>
      <c r="AG28" s="195"/>
      <c r="AH28" s="212">
        <f>'舗装関連　内訳書'!F38</f>
        <v>697000.04</v>
      </c>
      <c r="AI28" s="213"/>
      <c r="AJ28" s="213"/>
      <c r="AK28" s="214"/>
      <c r="AL28" s="186">
        <f t="shared" ref="AL28:AL36" si="0">SUM(AC28*AH28)</f>
        <v>697000.04</v>
      </c>
      <c r="AM28" s="187"/>
      <c r="AN28" s="187"/>
      <c r="AO28" s="187"/>
      <c r="AP28" s="187"/>
      <c r="AQ28" s="187"/>
      <c r="AR28" s="188"/>
      <c r="AS28" s="189"/>
      <c r="AT28" s="190"/>
      <c r="AU28" s="190"/>
      <c r="AV28" s="190"/>
      <c r="AW28" s="190"/>
      <c r="AX28" s="190"/>
      <c r="AY28" s="314"/>
    </row>
    <row r="29" spans="2:61" x14ac:dyDescent="0.45">
      <c r="B29" s="315">
        <v>3</v>
      </c>
      <c r="C29" s="191"/>
      <c r="D29" s="216" t="s">
        <v>131</v>
      </c>
      <c r="E29" s="217"/>
      <c r="F29" s="217"/>
      <c r="G29" s="217"/>
      <c r="H29" s="217"/>
      <c r="I29" s="217"/>
      <c r="J29" s="217"/>
      <c r="K29" s="218"/>
      <c r="L29" s="196" t="s">
        <v>135</v>
      </c>
      <c r="M29" s="197"/>
      <c r="N29" s="197"/>
      <c r="O29" s="197"/>
      <c r="P29" s="197"/>
      <c r="Q29" s="197"/>
      <c r="R29" s="197"/>
      <c r="S29" s="197"/>
      <c r="T29" s="197"/>
      <c r="U29" s="197"/>
      <c r="V29" s="197"/>
      <c r="W29" s="197"/>
      <c r="X29" s="197"/>
      <c r="Y29" s="197"/>
      <c r="Z29" s="197"/>
      <c r="AA29" s="197"/>
      <c r="AB29" s="198"/>
      <c r="AC29" s="220">
        <v>1</v>
      </c>
      <c r="AD29" s="221"/>
      <c r="AE29" s="222"/>
      <c r="AF29" s="202" t="s">
        <v>133</v>
      </c>
      <c r="AG29" s="195"/>
      <c r="AH29" s="212">
        <f>'舗装関連　内訳書'!F58</f>
        <v>670000.29</v>
      </c>
      <c r="AI29" s="213"/>
      <c r="AJ29" s="213"/>
      <c r="AK29" s="214"/>
      <c r="AL29" s="186">
        <f t="shared" si="0"/>
        <v>670000.29</v>
      </c>
      <c r="AM29" s="187"/>
      <c r="AN29" s="187"/>
      <c r="AO29" s="187"/>
      <c r="AP29" s="187"/>
      <c r="AQ29" s="187"/>
      <c r="AR29" s="188"/>
      <c r="AS29" s="189"/>
      <c r="AT29" s="190"/>
      <c r="AU29" s="190"/>
      <c r="AV29" s="190"/>
      <c r="AW29" s="190"/>
      <c r="AX29" s="190"/>
      <c r="AY29" s="314"/>
    </row>
    <row r="30" spans="2:61" x14ac:dyDescent="0.45">
      <c r="B30" s="315">
        <v>4</v>
      </c>
      <c r="C30" s="191"/>
      <c r="D30" s="216" t="s">
        <v>136</v>
      </c>
      <c r="E30" s="217"/>
      <c r="F30" s="217"/>
      <c r="G30" s="217"/>
      <c r="H30" s="217"/>
      <c r="I30" s="217"/>
      <c r="J30" s="217"/>
      <c r="K30" s="218"/>
      <c r="L30" s="196" t="s">
        <v>137</v>
      </c>
      <c r="M30" s="197"/>
      <c r="N30" s="197"/>
      <c r="O30" s="197"/>
      <c r="P30" s="197"/>
      <c r="Q30" s="197"/>
      <c r="R30" s="197"/>
      <c r="S30" s="197"/>
      <c r="T30" s="197"/>
      <c r="U30" s="197"/>
      <c r="V30" s="197"/>
      <c r="W30" s="197"/>
      <c r="X30" s="197"/>
      <c r="Y30" s="197"/>
      <c r="Z30" s="197"/>
      <c r="AA30" s="197"/>
      <c r="AB30" s="198"/>
      <c r="AC30" s="220">
        <v>1</v>
      </c>
      <c r="AD30" s="221"/>
      <c r="AE30" s="222"/>
      <c r="AF30" s="202" t="s">
        <v>133</v>
      </c>
      <c r="AG30" s="195"/>
      <c r="AH30" s="212">
        <f>'舗装関連　内訳書'!F79</f>
        <v>401999.99</v>
      </c>
      <c r="AI30" s="213"/>
      <c r="AJ30" s="213"/>
      <c r="AK30" s="214"/>
      <c r="AL30" s="186">
        <f t="shared" si="0"/>
        <v>401999.99</v>
      </c>
      <c r="AM30" s="187"/>
      <c r="AN30" s="187"/>
      <c r="AO30" s="187"/>
      <c r="AP30" s="187"/>
      <c r="AQ30" s="187"/>
      <c r="AR30" s="188"/>
      <c r="AS30" s="189"/>
      <c r="AT30" s="190"/>
      <c r="AU30" s="190"/>
      <c r="AV30" s="190"/>
      <c r="AW30" s="190"/>
      <c r="AX30" s="190"/>
      <c r="AY30" s="314"/>
      <c r="BD30" s="215"/>
      <c r="BE30" s="215"/>
      <c r="BF30" s="215"/>
      <c r="BG30" s="215"/>
      <c r="BH30" s="215"/>
      <c r="BI30" s="215"/>
    </row>
    <row r="31" spans="2:61" x14ac:dyDescent="0.45">
      <c r="B31" s="315">
        <v>5</v>
      </c>
      <c r="C31" s="191"/>
      <c r="D31" s="216" t="s">
        <v>136</v>
      </c>
      <c r="E31" s="217"/>
      <c r="F31" s="217"/>
      <c r="G31" s="217"/>
      <c r="H31" s="217"/>
      <c r="I31" s="217"/>
      <c r="J31" s="217"/>
      <c r="K31" s="218"/>
      <c r="L31" s="196" t="s">
        <v>138</v>
      </c>
      <c r="M31" s="197"/>
      <c r="N31" s="197"/>
      <c r="O31" s="197"/>
      <c r="P31" s="197"/>
      <c r="Q31" s="197"/>
      <c r="R31" s="197"/>
      <c r="S31" s="197"/>
      <c r="T31" s="197"/>
      <c r="U31" s="197"/>
      <c r="V31" s="197"/>
      <c r="W31" s="197"/>
      <c r="X31" s="197"/>
      <c r="Y31" s="197"/>
      <c r="Z31" s="197"/>
      <c r="AA31" s="197"/>
      <c r="AB31" s="198"/>
      <c r="AC31" s="220">
        <v>1</v>
      </c>
      <c r="AD31" s="221"/>
      <c r="AE31" s="222"/>
      <c r="AF31" s="202" t="s">
        <v>133</v>
      </c>
      <c r="AG31" s="195"/>
      <c r="AH31" s="212">
        <f>'舗装関連　内訳書'!F99</f>
        <v>510000.4</v>
      </c>
      <c r="AI31" s="213"/>
      <c r="AJ31" s="213"/>
      <c r="AK31" s="214"/>
      <c r="AL31" s="186">
        <f t="shared" si="0"/>
        <v>510000.4</v>
      </c>
      <c r="AM31" s="187"/>
      <c r="AN31" s="187"/>
      <c r="AO31" s="187"/>
      <c r="AP31" s="187"/>
      <c r="AQ31" s="187"/>
      <c r="AR31" s="188"/>
      <c r="AS31" s="189"/>
      <c r="AT31" s="190"/>
      <c r="AU31" s="190"/>
      <c r="AV31" s="190"/>
      <c r="AW31" s="190"/>
      <c r="AX31" s="190"/>
      <c r="AY31" s="314"/>
      <c r="BD31" s="13"/>
      <c r="BE31" s="13"/>
      <c r="BF31" s="13"/>
      <c r="BG31" s="13"/>
      <c r="BH31" s="13"/>
      <c r="BI31" s="13"/>
    </row>
    <row r="32" spans="2:61" x14ac:dyDescent="0.45">
      <c r="B32" s="315">
        <v>6</v>
      </c>
      <c r="C32" s="191"/>
      <c r="D32" s="216" t="s">
        <v>136</v>
      </c>
      <c r="E32" s="217"/>
      <c r="F32" s="217"/>
      <c r="G32" s="217"/>
      <c r="H32" s="217"/>
      <c r="I32" s="217"/>
      <c r="J32" s="217"/>
      <c r="K32" s="218"/>
      <c r="L32" s="196" t="s">
        <v>135</v>
      </c>
      <c r="M32" s="197"/>
      <c r="N32" s="197"/>
      <c r="O32" s="197"/>
      <c r="P32" s="197"/>
      <c r="Q32" s="197"/>
      <c r="R32" s="197"/>
      <c r="S32" s="197"/>
      <c r="T32" s="197"/>
      <c r="U32" s="197"/>
      <c r="V32" s="197"/>
      <c r="W32" s="197"/>
      <c r="X32" s="197"/>
      <c r="Y32" s="197"/>
      <c r="Z32" s="197"/>
      <c r="AA32" s="197"/>
      <c r="AB32" s="198"/>
      <c r="AC32" s="220">
        <v>1</v>
      </c>
      <c r="AD32" s="221"/>
      <c r="AE32" s="222"/>
      <c r="AF32" s="202" t="s">
        <v>133</v>
      </c>
      <c r="AG32" s="195"/>
      <c r="AH32" s="212">
        <f>'舗装関連　内訳書'!F119</f>
        <v>684000.29</v>
      </c>
      <c r="AI32" s="213"/>
      <c r="AJ32" s="213"/>
      <c r="AK32" s="214"/>
      <c r="AL32" s="186">
        <f t="shared" si="0"/>
        <v>684000.29</v>
      </c>
      <c r="AM32" s="187"/>
      <c r="AN32" s="187"/>
      <c r="AO32" s="187"/>
      <c r="AP32" s="187"/>
      <c r="AQ32" s="187"/>
      <c r="AR32" s="188"/>
      <c r="AS32" s="189"/>
      <c r="AT32" s="190"/>
      <c r="AU32" s="190"/>
      <c r="AV32" s="190"/>
      <c r="AW32" s="190"/>
      <c r="AX32" s="190"/>
      <c r="AY32" s="314"/>
      <c r="BD32" s="13"/>
      <c r="BE32" s="13"/>
      <c r="BF32" s="13"/>
      <c r="BG32" s="13"/>
      <c r="BH32" s="13"/>
      <c r="BI32" s="13"/>
    </row>
    <row r="33" spans="1:73" x14ac:dyDescent="0.45">
      <c r="B33" s="315">
        <v>7</v>
      </c>
      <c r="C33" s="191"/>
      <c r="D33" s="216" t="s">
        <v>139</v>
      </c>
      <c r="E33" s="217"/>
      <c r="F33" s="217"/>
      <c r="G33" s="217"/>
      <c r="H33" s="217"/>
      <c r="I33" s="217"/>
      <c r="J33" s="217"/>
      <c r="K33" s="218"/>
      <c r="L33" s="196" t="s">
        <v>140</v>
      </c>
      <c r="M33" s="197"/>
      <c r="N33" s="197"/>
      <c r="O33" s="197"/>
      <c r="P33" s="197"/>
      <c r="Q33" s="197"/>
      <c r="R33" s="197"/>
      <c r="S33" s="197"/>
      <c r="T33" s="197"/>
      <c r="U33" s="197"/>
      <c r="V33" s="197"/>
      <c r="W33" s="197"/>
      <c r="X33" s="197"/>
      <c r="Y33" s="197"/>
      <c r="Z33" s="197"/>
      <c r="AA33" s="197"/>
      <c r="AB33" s="198"/>
      <c r="AC33" s="220">
        <v>1</v>
      </c>
      <c r="AD33" s="221"/>
      <c r="AE33" s="222"/>
      <c r="AF33" s="202" t="s">
        <v>133</v>
      </c>
      <c r="AG33" s="195"/>
      <c r="AH33" s="212">
        <f>'舗装関連　内訳書'!F140</f>
        <v>399000.11</v>
      </c>
      <c r="AI33" s="213"/>
      <c r="AJ33" s="213"/>
      <c r="AK33" s="214"/>
      <c r="AL33" s="186">
        <f t="shared" si="0"/>
        <v>399000.11</v>
      </c>
      <c r="AM33" s="187"/>
      <c r="AN33" s="187"/>
      <c r="AO33" s="187"/>
      <c r="AP33" s="187"/>
      <c r="AQ33" s="187"/>
      <c r="AR33" s="188"/>
      <c r="AS33" s="189"/>
      <c r="AT33" s="190"/>
      <c r="AU33" s="190"/>
      <c r="AV33" s="190"/>
      <c r="AW33" s="190"/>
      <c r="AX33" s="190"/>
      <c r="AY33" s="314"/>
      <c r="BD33" s="215"/>
      <c r="BE33" s="215"/>
      <c r="BF33" s="215"/>
      <c r="BG33" s="215"/>
      <c r="BH33" s="215"/>
      <c r="BI33" s="215"/>
    </row>
    <row r="34" spans="1:73" x14ac:dyDescent="0.45">
      <c r="B34" s="315">
        <v>8</v>
      </c>
      <c r="C34" s="191"/>
      <c r="D34" s="216" t="s">
        <v>139</v>
      </c>
      <c r="E34" s="217"/>
      <c r="F34" s="217"/>
      <c r="G34" s="217"/>
      <c r="H34" s="217"/>
      <c r="I34" s="217"/>
      <c r="J34" s="217"/>
      <c r="K34" s="218"/>
      <c r="L34" s="219" t="s">
        <v>141</v>
      </c>
      <c r="M34" s="207"/>
      <c r="N34" s="207"/>
      <c r="O34" s="207"/>
      <c r="P34" s="207"/>
      <c r="Q34" s="207"/>
      <c r="R34" s="207"/>
      <c r="S34" s="207"/>
      <c r="T34" s="207"/>
      <c r="U34" s="207"/>
      <c r="V34" s="207"/>
      <c r="W34" s="207"/>
      <c r="X34" s="207"/>
      <c r="Y34" s="207"/>
      <c r="Z34" s="207"/>
      <c r="AA34" s="207"/>
      <c r="AB34" s="208"/>
      <c r="AC34" s="220">
        <v>1</v>
      </c>
      <c r="AD34" s="221"/>
      <c r="AE34" s="222"/>
      <c r="AF34" s="202" t="s">
        <v>133</v>
      </c>
      <c r="AG34" s="195"/>
      <c r="AH34" s="212">
        <f>'舗装関連　内訳書'!F159</f>
        <v>372000.36</v>
      </c>
      <c r="AI34" s="213"/>
      <c r="AJ34" s="213"/>
      <c r="AK34" s="214"/>
      <c r="AL34" s="186">
        <f t="shared" si="0"/>
        <v>372000.36</v>
      </c>
      <c r="AM34" s="187"/>
      <c r="AN34" s="187"/>
      <c r="AO34" s="187"/>
      <c r="AP34" s="187"/>
      <c r="AQ34" s="187"/>
      <c r="AR34" s="188"/>
      <c r="AS34" s="189"/>
      <c r="AT34" s="190"/>
      <c r="AU34" s="190"/>
      <c r="AV34" s="190"/>
      <c r="AW34" s="190"/>
      <c r="AX34" s="190"/>
      <c r="AY34" s="314"/>
      <c r="BD34" s="215"/>
      <c r="BE34" s="215"/>
      <c r="BF34" s="215"/>
      <c r="BG34" s="215"/>
      <c r="BH34" s="215"/>
      <c r="BI34" s="215"/>
    </row>
    <row r="35" spans="1:73" x14ac:dyDescent="0.45">
      <c r="B35" s="315">
        <v>9</v>
      </c>
      <c r="C35" s="191"/>
      <c r="D35" s="216" t="s">
        <v>142</v>
      </c>
      <c r="E35" s="217"/>
      <c r="F35" s="217"/>
      <c r="G35" s="217"/>
      <c r="H35" s="217"/>
      <c r="I35" s="217"/>
      <c r="J35" s="217"/>
      <c r="K35" s="218"/>
      <c r="L35" s="196" t="s">
        <v>143</v>
      </c>
      <c r="M35" s="197"/>
      <c r="N35" s="197"/>
      <c r="O35" s="197"/>
      <c r="P35" s="197"/>
      <c r="Q35" s="197"/>
      <c r="R35" s="197"/>
      <c r="S35" s="197"/>
      <c r="T35" s="197"/>
      <c r="U35" s="197"/>
      <c r="V35" s="197"/>
      <c r="W35" s="197"/>
      <c r="X35" s="197"/>
      <c r="Y35" s="197"/>
      <c r="Z35" s="197"/>
      <c r="AA35" s="197"/>
      <c r="AB35" s="198"/>
      <c r="AC35" s="220">
        <v>1</v>
      </c>
      <c r="AD35" s="221"/>
      <c r="AE35" s="222"/>
      <c r="AF35" s="202" t="s">
        <v>133</v>
      </c>
      <c r="AG35" s="195"/>
      <c r="AH35" s="212">
        <f>'舗装関連　内訳書'!F178</f>
        <v>158999.56</v>
      </c>
      <c r="AI35" s="213"/>
      <c r="AJ35" s="213"/>
      <c r="AK35" s="214"/>
      <c r="AL35" s="186">
        <f t="shared" si="0"/>
        <v>158999.56</v>
      </c>
      <c r="AM35" s="187"/>
      <c r="AN35" s="187"/>
      <c r="AO35" s="187"/>
      <c r="AP35" s="187"/>
      <c r="AQ35" s="187"/>
      <c r="AR35" s="188"/>
      <c r="AS35" s="189"/>
      <c r="AT35" s="190"/>
      <c r="AU35" s="190"/>
      <c r="AV35" s="190"/>
      <c r="AW35" s="190"/>
      <c r="AX35" s="190"/>
      <c r="AY35" s="314"/>
      <c r="BD35" s="215"/>
      <c r="BE35" s="215"/>
      <c r="BF35" s="215"/>
      <c r="BG35" s="215"/>
      <c r="BH35" s="215"/>
      <c r="BI35" s="215"/>
    </row>
    <row r="36" spans="1:73" x14ac:dyDescent="0.45">
      <c r="B36" s="315">
        <v>10</v>
      </c>
      <c r="C36" s="191"/>
      <c r="D36" s="216" t="s">
        <v>144</v>
      </c>
      <c r="E36" s="217"/>
      <c r="F36" s="217"/>
      <c r="G36" s="217"/>
      <c r="H36" s="217"/>
      <c r="I36" s="217"/>
      <c r="J36" s="217"/>
      <c r="K36" s="218"/>
      <c r="L36" s="206" t="s">
        <v>145</v>
      </c>
      <c r="M36" s="207"/>
      <c r="N36" s="207"/>
      <c r="O36" s="207"/>
      <c r="P36" s="207"/>
      <c r="Q36" s="207"/>
      <c r="R36" s="207"/>
      <c r="S36" s="207"/>
      <c r="T36" s="207"/>
      <c r="U36" s="207"/>
      <c r="V36" s="207"/>
      <c r="W36" s="207"/>
      <c r="X36" s="207"/>
      <c r="Y36" s="207"/>
      <c r="Z36" s="207"/>
      <c r="AA36" s="207"/>
      <c r="AB36" s="208"/>
      <c r="AC36" s="220">
        <v>1</v>
      </c>
      <c r="AD36" s="221"/>
      <c r="AE36" s="222"/>
      <c r="AF36" s="202" t="s">
        <v>133</v>
      </c>
      <c r="AG36" s="195"/>
      <c r="AH36" s="212">
        <f>'舗装関連　内訳書'!F197</f>
        <v>119999.6</v>
      </c>
      <c r="AI36" s="213"/>
      <c r="AJ36" s="213"/>
      <c r="AK36" s="214"/>
      <c r="AL36" s="186">
        <f t="shared" si="0"/>
        <v>119999.6</v>
      </c>
      <c r="AM36" s="187"/>
      <c r="AN36" s="187"/>
      <c r="AO36" s="187"/>
      <c r="AP36" s="187"/>
      <c r="AQ36" s="187"/>
      <c r="AR36" s="188"/>
      <c r="AS36" s="189"/>
      <c r="AT36" s="190"/>
      <c r="AU36" s="190"/>
      <c r="AV36" s="190"/>
      <c r="AW36" s="190"/>
      <c r="AX36" s="190"/>
      <c r="AY36" s="314"/>
    </row>
    <row r="37" spans="1:73" ht="15" thickBot="1" x14ac:dyDescent="0.5">
      <c r="B37" s="315"/>
      <c r="C37" s="191"/>
      <c r="D37" s="216"/>
      <c r="E37" s="217"/>
      <c r="F37" s="217"/>
      <c r="G37" s="217"/>
      <c r="H37" s="217"/>
      <c r="I37" s="217"/>
      <c r="J37" s="217"/>
      <c r="K37" s="218"/>
      <c r="L37" s="196"/>
      <c r="M37" s="197"/>
      <c r="N37" s="197"/>
      <c r="O37" s="197"/>
      <c r="P37" s="197"/>
      <c r="Q37" s="197"/>
      <c r="R37" s="197"/>
      <c r="S37" s="197"/>
      <c r="T37" s="197"/>
      <c r="U37" s="197"/>
      <c r="V37" s="197"/>
      <c r="W37" s="197"/>
      <c r="X37" s="197"/>
      <c r="Y37" s="197"/>
      <c r="Z37" s="197"/>
      <c r="AA37" s="197"/>
      <c r="AB37" s="198"/>
      <c r="AC37" s="220"/>
      <c r="AD37" s="221"/>
      <c r="AE37" s="222"/>
      <c r="AF37" s="202"/>
      <c r="AG37" s="195"/>
      <c r="AH37" s="203"/>
      <c r="AI37" s="204"/>
      <c r="AJ37" s="204"/>
      <c r="AK37" s="205"/>
      <c r="AL37" s="186"/>
      <c r="AM37" s="187"/>
      <c r="AN37" s="187"/>
      <c r="AO37" s="187"/>
      <c r="AP37" s="187"/>
      <c r="AQ37" s="187"/>
      <c r="AR37" s="188"/>
      <c r="AS37" s="189"/>
      <c r="AT37" s="190"/>
      <c r="AU37" s="190"/>
      <c r="AV37" s="190"/>
      <c r="AW37" s="190"/>
      <c r="AX37" s="190"/>
      <c r="AY37" s="314"/>
      <c r="BD37" s="164"/>
      <c r="BE37" s="165"/>
      <c r="BF37" s="165"/>
      <c r="BG37" s="165"/>
      <c r="BH37" s="165"/>
      <c r="BI37" s="165"/>
      <c r="BJ37" s="165"/>
      <c r="BK37" s="165"/>
      <c r="BL37" s="165"/>
      <c r="BM37" s="166"/>
      <c r="BN37" s="166"/>
      <c r="BO37" s="166"/>
      <c r="BP37" s="166"/>
      <c r="BQ37" s="166"/>
      <c r="BR37" s="166"/>
      <c r="BS37" s="166"/>
      <c r="BT37" s="166"/>
      <c r="BU37" s="167"/>
    </row>
    <row r="38" spans="1:73" ht="13.8" thickBot="1" x14ac:dyDescent="0.5">
      <c r="B38" s="310"/>
      <c r="C38" s="169"/>
      <c r="D38" s="170"/>
      <c r="E38" s="171"/>
      <c r="F38" s="171"/>
      <c r="G38" s="171"/>
      <c r="H38" s="171"/>
      <c r="I38" s="171"/>
      <c r="J38" s="171"/>
      <c r="K38" s="172"/>
      <c r="L38" s="173"/>
      <c r="M38" s="174"/>
      <c r="N38" s="174"/>
      <c r="O38" s="174"/>
      <c r="P38" s="174"/>
      <c r="Q38" s="174"/>
      <c r="R38" s="174"/>
      <c r="S38" s="174"/>
      <c r="T38" s="174"/>
      <c r="U38" s="174"/>
      <c r="V38" s="174"/>
      <c r="W38" s="174"/>
      <c r="X38" s="174"/>
      <c r="Y38" s="174"/>
      <c r="Z38" s="174"/>
      <c r="AA38" s="174"/>
      <c r="AB38" s="175"/>
      <c r="AC38" s="176"/>
      <c r="AD38" s="177"/>
      <c r="AE38" s="178"/>
      <c r="AF38" s="168"/>
      <c r="AG38" s="169"/>
      <c r="AH38" s="179"/>
      <c r="AI38" s="180"/>
      <c r="AJ38" s="180"/>
      <c r="AK38" s="181"/>
      <c r="AL38" s="182"/>
      <c r="AM38" s="183"/>
      <c r="AN38" s="183"/>
      <c r="AO38" s="183"/>
      <c r="AP38" s="183"/>
      <c r="AQ38" s="183"/>
      <c r="AR38" s="184"/>
      <c r="AS38" s="168"/>
      <c r="AT38" s="185"/>
      <c r="AU38" s="185"/>
      <c r="AV38" s="185"/>
      <c r="AW38" s="185"/>
      <c r="AX38" s="185"/>
      <c r="AY38" s="311"/>
      <c r="BD38" s="140" t="s">
        <v>32</v>
      </c>
      <c r="BE38" s="141"/>
      <c r="BF38" s="141"/>
      <c r="BG38" s="141"/>
      <c r="BH38" s="141"/>
      <c r="BI38" s="141"/>
      <c r="BJ38" s="141" t="s">
        <v>33</v>
      </c>
      <c r="BK38" s="141"/>
      <c r="BL38" s="141"/>
      <c r="BM38" s="141"/>
      <c r="BN38" s="141"/>
      <c r="BO38" s="141"/>
      <c r="BP38" s="141" t="s">
        <v>34</v>
      </c>
      <c r="BQ38" s="141"/>
      <c r="BR38" s="141"/>
      <c r="BS38" s="141"/>
      <c r="BT38" s="141"/>
      <c r="BU38" s="142"/>
    </row>
    <row r="39" spans="1:73" ht="14.4" thickTop="1" thickBot="1" x14ac:dyDescent="0.5">
      <c r="A39" s="117"/>
      <c r="B39" s="294"/>
      <c r="C39" s="295"/>
      <c r="D39" s="296" t="s">
        <v>35</v>
      </c>
      <c r="E39" s="297"/>
      <c r="F39" s="297"/>
      <c r="G39" s="297"/>
      <c r="H39" s="297"/>
      <c r="I39" s="297"/>
      <c r="J39" s="297"/>
      <c r="K39" s="298"/>
      <c r="L39" s="299"/>
      <c r="M39" s="300"/>
      <c r="N39" s="300"/>
      <c r="O39" s="300"/>
      <c r="P39" s="300"/>
      <c r="Q39" s="300"/>
      <c r="R39" s="300"/>
      <c r="S39" s="300"/>
      <c r="T39" s="300"/>
      <c r="U39" s="300"/>
      <c r="V39" s="300"/>
      <c r="W39" s="300"/>
      <c r="X39" s="300"/>
      <c r="Y39" s="300"/>
      <c r="Z39" s="300"/>
      <c r="AA39" s="300"/>
      <c r="AB39" s="295"/>
      <c r="AC39" s="301"/>
      <c r="AD39" s="302"/>
      <c r="AE39" s="303"/>
      <c r="AF39" s="299"/>
      <c r="AG39" s="295"/>
      <c r="AH39" s="304"/>
      <c r="AI39" s="305"/>
      <c r="AJ39" s="305"/>
      <c r="AK39" s="306"/>
      <c r="AL39" s="307">
        <f>SUM(AL26:AR38)</f>
        <v>4583001.0399999991</v>
      </c>
      <c r="AM39" s="308"/>
      <c r="AN39" s="308"/>
      <c r="AO39" s="308"/>
      <c r="AP39" s="308"/>
      <c r="AQ39" s="308"/>
      <c r="AR39" s="309"/>
      <c r="AS39" s="312"/>
      <c r="AT39" s="300"/>
      <c r="AU39" s="300"/>
      <c r="AV39" s="300"/>
      <c r="AW39" s="300"/>
      <c r="AX39" s="300"/>
      <c r="AY39" s="313"/>
      <c r="BD39" s="159" t="e">
        <f>'[3]WJハツリ～床板補修～WJ研掃'!L25</f>
        <v>#DIV/0!</v>
      </c>
      <c r="BE39" s="160"/>
      <c r="BF39" s="160"/>
      <c r="BG39" s="160"/>
      <c r="BH39" s="160"/>
      <c r="BI39" s="160"/>
      <c r="BJ39" s="161" t="e">
        <f>AL39-BD39</f>
        <v>#DIV/0!</v>
      </c>
      <c r="BK39" s="161"/>
      <c r="BL39" s="161"/>
      <c r="BM39" s="161"/>
      <c r="BN39" s="161"/>
      <c r="BO39" s="161"/>
      <c r="BP39" s="162" t="e">
        <f>BD39/AL39</f>
        <v>#DIV/0!</v>
      </c>
      <c r="BQ39" s="162"/>
      <c r="BR39" s="162"/>
      <c r="BS39" s="162"/>
      <c r="BT39" s="162"/>
      <c r="BU39" s="163"/>
    </row>
    <row r="40" spans="1:73" ht="18.75" customHeight="1" x14ac:dyDescent="0.45">
      <c r="AL40" s="292"/>
      <c r="AM40" s="292"/>
      <c r="AN40" s="292"/>
      <c r="AO40" s="292"/>
      <c r="AP40" s="292"/>
      <c r="AQ40" s="292"/>
      <c r="AR40" s="292"/>
      <c r="AS40" s="293" t="s">
        <v>36</v>
      </c>
      <c r="AT40" s="293"/>
      <c r="AU40" s="293"/>
      <c r="AV40" s="293"/>
      <c r="AW40" s="293"/>
      <c r="AX40" s="293"/>
      <c r="AY40" s="293"/>
      <c r="AZ40" s="139" t="e">
        <f>BD39/AL40</f>
        <v>#DIV/0!</v>
      </c>
      <c r="BA40" s="139"/>
      <c r="BB40" s="139"/>
      <c r="BC40" s="139"/>
    </row>
  </sheetData>
  <mergeCells count="161">
    <mergeCell ref="B10:E10"/>
    <mergeCell ref="F10:Z10"/>
    <mergeCell ref="B22:T23"/>
    <mergeCell ref="U22:AD23"/>
    <mergeCell ref="B14:E14"/>
    <mergeCell ref="F14:Z14"/>
    <mergeCell ref="B20:T20"/>
    <mergeCell ref="U20:AD20"/>
    <mergeCell ref="B21:T21"/>
    <mergeCell ref="U21:AD21"/>
    <mergeCell ref="AS1:AY1"/>
    <mergeCell ref="A2:AY3"/>
    <mergeCell ref="B4:P5"/>
    <mergeCell ref="Q4:T5"/>
    <mergeCell ref="B7:E7"/>
    <mergeCell ref="F7:AF7"/>
    <mergeCell ref="AG19:AS23"/>
    <mergeCell ref="B11:E11"/>
    <mergeCell ref="F11:Z11"/>
    <mergeCell ref="B12:E12"/>
    <mergeCell ref="F12:Z12"/>
    <mergeCell ref="B13:E13"/>
    <mergeCell ref="F13:Z13"/>
    <mergeCell ref="B8:E8"/>
    <mergeCell ref="F8:Z8"/>
    <mergeCell ref="B9:E9"/>
    <mergeCell ref="G9:O9"/>
    <mergeCell ref="Q9:Z9"/>
    <mergeCell ref="AF25:AG25"/>
    <mergeCell ref="AH25:AK25"/>
    <mergeCell ref="AL25:AR25"/>
    <mergeCell ref="AS25:AY25"/>
    <mergeCell ref="B26:C26"/>
    <mergeCell ref="D26:K26"/>
    <mergeCell ref="L26:AB26"/>
    <mergeCell ref="AC26:AE26"/>
    <mergeCell ref="AF26:AG26"/>
    <mergeCell ref="AH26:AK26"/>
    <mergeCell ref="AL26:AR26"/>
    <mergeCell ref="AS26:AY26"/>
    <mergeCell ref="B25:C25"/>
    <mergeCell ref="D25:K25"/>
    <mergeCell ref="L25:AB25"/>
    <mergeCell ref="AC25:AE25"/>
    <mergeCell ref="B27:C27"/>
    <mergeCell ref="D27:K27"/>
    <mergeCell ref="L27:AB27"/>
    <mergeCell ref="AC27:AE27"/>
    <mergeCell ref="AF27:AG27"/>
    <mergeCell ref="AH27:AK27"/>
    <mergeCell ref="AL27:AR27"/>
    <mergeCell ref="AS27:AY27"/>
    <mergeCell ref="AL28:AR28"/>
    <mergeCell ref="AS28:AY28"/>
    <mergeCell ref="B29:C29"/>
    <mergeCell ref="D29:K29"/>
    <mergeCell ref="L29:AB29"/>
    <mergeCell ref="AC29:AE29"/>
    <mergeCell ref="AF29:AG29"/>
    <mergeCell ref="AH29:AK29"/>
    <mergeCell ref="AL29:AR29"/>
    <mergeCell ref="AS29:AY29"/>
    <mergeCell ref="B28:C28"/>
    <mergeCell ref="D28:K28"/>
    <mergeCell ref="L28:AB28"/>
    <mergeCell ref="AC28:AE28"/>
    <mergeCell ref="AF28:AG28"/>
    <mergeCell ref="AH28:AK28"/>
    <mergeCell ref="AL30:AR30"/>
    <mergeCell ref="AS30:AY30"/>
    <mergeCell ref="BD30:BI30"/>
    <mergeCell ref="B31:C31"/>
    <mergeCell ref="D31:K31"/>
    <mergeCell ref="L31:AB31"/>
    <mergeCell ref="AC31:AE31"/>
    <mergeCell ref="AF31:AG31"/>
    <mergeCell ref="AH31:AK31"/>
    <mergeCell ref="AL31:AR31"/>
    <mergeCell ref="B30:C30"/>
    <mergeCell ref="D30:K30"/>
    <mergeCell ref="L30:AB30"/>
    <mergeCell ref="AC30:AE30"/>
    <mergeCell ref="AF30:AG30"/>
    <mergeCell ref="AH30:AK30"/>
    <mergeCell ref="AS31:AY31"/>
    <mergeCell ref="B32:C32"/>
    <mergeCell ref="D32:K32"/>
    <mergeCell ref="L32:AB32"/>
    <mergeCell ref="AC32:AE32"/>
    <mergeCell ref="AF32:AG32"/>
    <mergeCell ref="AH32:AK32"/>
    <mergeCell ref="AL32:AR32"/>
    <mergeCell ref="AS32:AY32"/>
    <mergeCell ref="AL33:AR33"/>
    <mergeCell ref="AS33:AY33"/>
    <mergeCell ref="BD33:BI35"/>
    <mergeCell ref="B34:C34"/>
    <mergeCell ref="D34:K34"/>
    <mergeCell ref="L34:AB34"/>
    <mergeCell ref="AC34:AE34"/>
    <mergeCell ref="AF34:AG34"/>
    <mergeCell ref="AH34:AK34"/>
    <mergeCell ref="AL34:AR34"/>
    <mergeCell ref="B33:C33"/>
    <mergeCell ref="D33:K33"/>
    <mergeCell ref="L33:AB33"/>
    <mergeCell ref="AC33:AE33"/>
    <mergeCell ref="AF33:AG33"/>
    <mergeCell ref="AH33:AK33"/>
    <mergeCell ref="AS34:AY34"/>
    <mergeCell ref="B35:C35"/>
    <mergeCell ref="D35:K35"/>
    <mergeCell ref="L35:AB35"/>
    <mergeCell ref="AC35:AE35"/>
    <mergeCell ref="AF35:AG35"/>
    <mergeCell ref="AH35:AK35"/>
    <mergeCell ref="AL35:AR35"/>
    <mergeCell ref="AS35:AY35"/>
    <mergeCell ref="AL36:AR36"/>
    <mergeCell ref="AS36:AY36"/>
    <mergeCell ref="B37:C37"/>
    <mergeCell ref="D37:K37"/>
    <mergeCell ref="L37:AB37"/>
    <mergeCell ref="AC37:AE37"/>
    <mergeCell ref="AF37:AG37"/>
    <mergeCell ref="AH37:AK37"/>
    <mergeCell ref="AL37:AR37"/>
    <mergeCell ref="AS37:AY37"/>
    <mergeCell ref="B36:C36"/>
    <mergeCell ref="D36:K36"/>
    <mergeCell ref="L36:AB36"/>
    <mergeCell ref="AC36:AE36"/>
    <mergeCell ref="AF36:AG36"/>
    <mergeCell ref="AH36:AK36"/>
    <mergeCell ref="BD37:BL37"/>
    <mergeCell ref="BM37:BU37"/>
    <mergeCell ref="B38:C38"/>
    <mergeCell ref="D38:K38"/>
    <mergeCell ref="L38:AB38"/>
    <mergeCell ref="AC38:AE38"/>
    <mergeCell ref="AF38:AG38"/>
    <mergeCell ref="AH38:AK38"/>
    <mergeCell ref="AL38:AR38"/>
    <mergeCell ref="AS38:AY38"/>
    <mergeCell ref="AL40:AR40"/>
    <mergeCell ref="AS40:AY40"/>
    <mergeCell ref="AZ40:BC40"/>
    <mergeCell ref="BD38:BI38"/>
    <mergeCell ref="BJ38:BO38"/>
    <mergeCell ref="BP38:BU38"/>
    <mergeCell ref="B39:C39"/>
    <mergeCell ref="D39:K39"/>
    <mergeCell ref="L39:AB39"/>
    <mergeCell ref="AC39:AE39"/>
    <mergeCell ref="AF39:AG39"/>
    <mergeCell ref="AH39:AK39"/>
    <mergeCell ref="AL39:AR39"/>
    <mergeCell ref="AS39:AY39"/>
    <mergeCell ref="BD39:BI39"/>
    <mergeCell ref="BJ39:BO39"/>
    <mergeCell ref="BP39:BU39"/>
  </mergeCells>
  <phoneticPr fontId="3"/>
  <printOptions horizontalCentered="1" verticalCentered="1"/>
  <pageMargins left="0.70866141732283472" right="0.70866141732283472" top="0.74803149606299213" bottom="0.74803149606299213" header="0.31496062992125984" footer="0.31496062992125984"/>
  <pageSetup paperSize="9" scale="9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921C2-E9AF-4634-A246-0B723369E33D}">
  <sheetPr>
    <tabColor rgb="FFFFFF00"/>
  </sheetPr>
  <dimension ref="A1:L197"/>
  <sheetViews>
    <sheetView view="pageBreakPreview" topLeftCell="A47" zoomScale="85" zoomScaleNormal="100" zoomScaleSheetLayoutView="85" workbookViewId="0">
      <selection activeCell="D61" sqref="D61"/>
    </sheetView>
  </sheetViews>
  <sheetFormatPr defaultRowHeight="18" x14ac:dyDescent="0.45"/>
  <cols>
    <col min="1" max="1" width="29.09765625" customWidth="1"/>
    <col min="2" max="2" width="31.3984375" customWidth="1"/>
    <col min="3" max="3" width="12.5" customWidth="1"/>
    <col min="4" max="4" width="12" style="28" customWidth="1"/>
    <col min="5" max="6" width="15.8984375" style="28" customWidth="1"/>
    <col min="7" max="7" width="20.3984375" customWidth="1"/>
    <col min="8" max="8" width="4.69921875" customWidth="1"/>
    <col min="9" max="9" width="12.5" customWidth="1"/>
    <col min="10" max="10" width="12" style="28" customWidth="1"/>
    <col min="11" max="12" width="15.8984375" style="28" customWidth="1"/>
  </cols>
  <sheetData>
    <row r="1" spans="1:12" ht="23.4" thickTop="1" thickBot="1" x14ac:dyDescent="0.5">
      <c r="A1" s="258" t="s">
        <v>146</v>
      </c>
      <c r="B1" s="258"/>
      <c r="C1" s="258"/>
      <c r="D1" s="258"/>
      <c r="E1" s="258"/>
      <c r="F1" s="258"/>
      <c r="G1" s="258"/>
      <c r="I1" s="259" t="s">
        <v>37</v>
      </c>
      <c r="J1" s="260"/>
      <c r="K1" s="259"/>
      <c r="L1" s="260"/>
    </row>
    <row r="2" spans="1:12" ht="23.1" customHeight="1" thickTop="1" x14ac:dyDescent="0.45">
      <c r="A2" s="127"/>
      <c r="B2" s="127" t="s">
        <v>39</v>
      </c>
      <c r="C2" s="127" t="s">
        <v>40</v>
      </c>
      <c r="D2" s="128" t="s">
        <v>41</v>
      </c>
      <c r="E2" s="128" t="s">
        <v>42</v>
      </c>
      <c r="F2" s="128" t="s">
        <v>43</v>
      </c>
      <c r="G2" s="127" t="s">
        <v>44</v>
      </c>
      <c r="I2" s="14" t="s">
        <v>40</v>
      </c>
      <c r="J2" s="15" t="s">
        <v>41</v>
      </c>
      <c r="K2" s="15" t="s">
        <v>42</v>
      </c>
      <c r="L2" s="15" t="s">
        <v>43</v>
      </c>
    </row>
    <row r="3" spans="1:12" ht="23.25" customHeight="1" x14ac:dyDescent="0.45">
      <c r="A3" s="16" t="s">
        <v>147</v>
      </c>
      <c r="B3" s="17" t="s">
        <v>148</v>
      </c>
      <c r="C3" s="19"/>
      <c r="D3" s="23"/>
      <c r="E3" s="18"/>
      <c r="F3" s="18"/>
      <c r="G3" s="17" t="s">
        <v>149</v>
      </c>
      <c r="I3" s="19"/>
      <c r="J3" s="18"/>
      <c r="K3" s="18"/>
      <c r="L3" s="18"/>
    </row>
    <row r="4" spans="1:12" ht="23.4" customHeight="1" x14ac:dyDescent="0.45">
      <c r="A4" s="19" t="s">
        <v>150</v>
      </c>
      <c r="B4" s="17" t="s">
        <v>151</v>
      </c>
      <c r="C4" s="22">
        <v>5</v>
      </c>
      <c r="D4" s="23" t="s">
        <v>152</v>
      </c>
      <c r="E4" s="24">
        <v>26700</v>
      </c>
      <c r="F4" s="18">
        <f>SUM(C4*E4)</f>
        <v>133500</v>
      </c>
      <c r="G4" s="17" t="s">
        <v>153</v>
      </c>
      <c r="I4" s="19"/>
      <c r="J4" s="23"/>
      <c r="K4" s="24"/>
      <c r="L4" s="18">
        <f>SUM(I4*K4)</f>
        <v>0</v>
      </c>
    </row>
    <row r="5" spans="1:12" ht="23.4" customHeight="1" x14ac:dyDescent="0.45">
      <c r="A5" s="19" t="s">
        <v>154</v>
      </c>
      <c r="B5" s="21" t="s">
        <v>155</v>
      </c>
      <c r="C5" s="22">
        <v>6</v>
      </c>
      <c r="D5" s="23" t="s">
        <v>152</v>
      </c>
      <c r="E5" s="24">
        <v>23600</v>
      </c>
      <c r="F5" s="18">
        <f t="shared" ref="F5:F10" si="0">SUM(C5*E5)</f>
        <v>141600</v>
      </c>
      <c r="G5" s="17"/>
      <c r="I5" s="19"/>
      <c r="J5" s="23"/>
      <c r="K5" s="24"/>
      <c r="L5" s="18"/>
    </row>
    <row r="6" spans="1:12" ht="23.4" customHeight="1" x14ac:dyDescent="0.45">
      <c r="A6" s="19" t="s">
        <v>156</v>
      </c>
      <c r="B6" s="21" t="s">
        <v>157</v>
      </c>
      <c r="C6" s="22">
        <v>1</v>
      </c>
      <c r="D6" s="23" t="s">
        <v>133</v>
      </c>
      <c r="E6" s="24">
        <v>33000</v>
      </c>
      <c r="F6" s="18">
        <f t="shared" si="0"/>
        <v>33000</v>
      </c>
      <c r="G6" s="17"/>
      <c r="I6" s="19"/>
      <c r="J6" s="23"/>
      <c r="K6" s="24"/>
      <c r="L6" s="18">
        <f>SUM(I6*K6)</f>
        <v>0</v>
      </c>
    </row>
    <row r="7" spans="1:12" ht="23.4" customHeight="1" x14ac:dyDescent="0.45">
      <c r="A7" s="19" t="s">
        <v>158</v>
      </c>
      <c r="B7" s="21" t="s">
        <v>159</v>
      </c>
      <c r="C7" s="22">
        <v>1</v>
      </c>
      <c r="D7" s="23" t="s">
        <v>133</v>
      </c>
      <c r="E7" s="24">
        <v>20000</v>
      </c>
      <c r="F7" s="18">
        <f t="shared" si="0"/>
        <v>20000</v>
      </c>
      <c r="G7" s="17"/>
      <c r="I7" s="19"/>
      <c r="J7" s="23"/>
      <c r="K7" s="24"/>
      <c r="L7" s="18"/>
    </row>
    <row r="8" spans="1:12" ht="23.4" customHeight="1" x14ac:dyDescent="0.45">
      <c r="A8" s="19" t="s">
        <v>160</v>
      </c>
      <c r="B8" s="17" t="s">
        <v>161</v>
      </c>
      <c r="C8" s="22">
        <v>1</v>
      </c>
      <c r="D8" s="23" t="s">
        <v>133</v>
      </c>
      <c r="E8" s="24">
        <v>22000</v>
      </c>
      <c r="F8" s="18">
        <f t="shared" si="0"/>
        <v>22000</v>
      </c>
      <c r="G8" s="17"/>
      <c r="I8" s="118"/>
      <c r="J8" s="43"/>
      <c r="K8" s="24"/>
      <c r="L8" s="18">
        <f>SUM(I8*K8)</f>
        <v>0</v>
      </c>
    </row>
    <row r="9" spans="1:12" ht="23.4" customHeight="1" x14ac:dyDescent="0.45">
      <c r="A9" s="19" t="s">
        <v>162</v>
      </c>
      <c r="B9" s="119" t="s">
        <v>163</v>
      </c>
      <c r="C9" s="22">
        <v>1</v>
      </c>
      <c r="D9" s="23" t="s">
        <v>133</v>
      </c>
      <c r="E9" s="24">
        <v>95000</v>
      </c>
      <c r="F9" s="18">
        <f t="shared" si="0"/>
        <v>95000</v>
      </c>
      <c r="G9" s="17" t="s">
        <v>164</v>
      </c>
      <c r="I9" s="19"/>
      <c r="J9" s="23"/>
      <c r="K9" s="24"/>
      <c r="L9" s="26"/>
    </row>
    <row r="10" spans="1:12" ht="23.4" customHeight="1" x14ac:dyDescent="0.45">
      <c r="A10" s="19" t="s">
        <v>165</v>
      </c>
      <c r="B10" s="17" t="s">
        <v>166</v>
      </c>
      <c r="C10" s="22">
        <v>1</v>
      </c>
      <c r="D10" s="23" t="s">
        <v>133</v>
      </c>
      <c r="E10" s="24">
        <v>15000</v>
      </c>
      <c r="F10" s="18">
        <f t="shared" si="0"/>
        <v>15000</v>
      </c>
      <c r="G10" s="17"/>
      <c r="I10" s="118"/>
      <c r="J10" s="43"/>
      <c r="K10" s="24"/>
      <c r="L10" s="18">
        <f>SUM(I10*K10)</f>
        <v>0</v>
      </c>
    </row>
    <row r="11" spans="1:12" ht="23.4" customHeight="1" x14ac:dyDescent="0.45">
      <c r="A11" s="19" t="s">
        <v>167</v>
      </c>
      <c r="B11" s="17" t="s">
        <v>168</v>
      </c>
      <c r="C11" s="22">
        <v>1</v>
      </c>
      <c r="D11" s="23" t="s">
        <v>169</v>
      </c>
      <c r="E11" s="24">
        <v>3400</v>
      </c>
      <c r="F11" s="18"/>
      <c r="G11" s="17" t="s">
        <v>170</v>
      </c>
      <c r="I11" s="19"/>
      <c r="J11" s="23"/>
      <c r="K11" s="24"/>
      <c r="L11" s="26"/>
    </row>
    <row r="12" spans="1:12" ht="23.4" customHeight="1" x14ac:dyDescent="0.45">
      <c r="A12" s="29"/>
      <c r="B12" s="17"/>
      <c r="C12" s="22"/>
      <c r="D12" s="23"/>
      <c r="E12" s="24"/>
      <c r="F12" s="37"/>
      <c r="G12" s="17"/>
      <c r="I12" s="19"/>
      <c r="J12" s="23"/>
      <c r="K12" s="24"/>
      <c r="L12" s="18"/>
    </row>
    <row r="13" spans="1:12" ht="23.4" customHeight="1" x14ac:dyDescent="0.45">
      <c r="A13" s="19"/>
      <c r="B13" s="21"/>
      <c r="C13" s="22"/>
      <c r="D13" s="23"/>
      <c r="E13" s="24"/>
      <c r="F13" s="120"/>
      <c r="G13" s="17"/>
      <c r="I13" s="32"/>
      <c r="J13" s="33"/>
      <c r="K13" s="34"/>
      <c r="L13" s="34"/>
    </row>
    <row r="14" spans="1:12" ht="23.4" customHeight="1" x14ac:dyDescent="0.45">
      <c r="A14" s="121"/>
      <c r="B14" s="17"/>
      <c r="C14" s="22"/>
      <c r="D14" s="23"/>
      <c r="E14" s="24"/>
      <c r="F14" s="18"/>
      <c r="G14" s="17"/>
      <c r="I14" s="19"/>
      <c r="J14" s="23"/>
      <c r="K14" s="18"/>
      <c r="L14" s="18"/>
    </row>
    <row r="15" spans="1:12" ht="23.4" customHeight="1" x14ac:dyDescent="0.45">
      <c r="A15" s="121" t="s">
        <v>46</v>
      </c>
      <c r="B15" s="17"/>
      <c r="C15" s="22">
        <v>1</v>
      </c>
      <c r="D15" s="23" t="s">
        <v>31</v>
      </c>
      <c r="E15" s="24">
        <f>SUM(F4:F11)*0.004</f>
        <v>1840.4</v>
      </c>
      <c r="F15" s="18">
        <f t="shared" ref="F15:F16" si="1">SUM(C15*E15)</f>
        <v>1840.4</v>
      </c>
      <c r="G15" s="17"/>
      <c r="I15" s="19"/>
      <c r="J15" s="23"/>
      <c r="K15" s="18"/>
      <c r="L15" s="18"/>
    </row>
    <row r="16" spans="1:12" ht="23.4" customHeight="1" x14ac:dyDescent="0.45">
      <c r="A16" s="121" t="s">
        <v>49</v>
      </c>
      <c r="B16" s="17"/>
      <c r="C16" s="22">
        <v>1</v>
      </c>
      <c r="D16" s="23" t="s">
        <v>31</v>
      </c>
      <c r="E16" s="24">
        <f>SUM(F4:F11)*0.15</f>
        <v>69015</v>
      </c>
      <c r="F16" s="18">
        <f t="shared" si="1"/>
        <v>69015</v>
      </c>
      <c r="G16" s="122"/>
      <c r="I16" s="123">
        <f>SUM(F4:F13)</f>
        <v>460100</v>
      </c>
      <c r="J16" s="23"/>
      <c r="K16" s="18"/>
      <c r="L16" s="18"/>
    </row>
    <row r="17" spans="1:12" ht="23.4" customHeight="1" x14ac:dyDescent="0.45">
      <c r="A17" s="19" t="s">
        <v>50</v>
      </c>
      <c r="B17" s="17"/>
      <c r="C17" s="22"/>
      <c r="D17" s="23"/>
      <c r="E17" s="24"/>
      <c r="F17" s="18">
        <v>-2220</v>
      </c>
      <c r="G17" s="324" t="s">
        <v>115</v>
      </c>
      <c r="I17" s="124">
        <f>SUM(E18/I16)</f>
        <v>8.9687024559878287E-2</v>
      </c>
      <c r="J17" s="18"/>
      <c r="K17" s="18"/>
      <c r="L17" s="18"/>
    </row>
    <row r="18" spans="1:12" ht="23.4" customHeight="1" x14ac:dyDescent="0.45">
      <c r="A18" s="19" t="s">
        <v>171</v>
      </c>
      <c r="B18" s="17"/>
      <c r="C18" s="22">
        <v>1</v>
      </c>
      <c r="D18" s="23" t="s">
        <v>31</v>
      </c>
      <c r="E18" s="24">
        <f>SUM(F4:F5)*0.15</f>
        <v>41265</v>
      </c>
      <c r="F18" s="18">
        <f t="shared" ref="F18" si="2">SUM(C18*E18)</f>
        <v>41265</v>
      </c>
      <c r="G18" s="324"/>
      <c r="I18" s="17"/>
      <c r="J18" s="18"/>
      <c r="K18" s="18"/>
      <c r="L18" s="18"/>
    </row>
    <row r="19" spans="1:12" ht="23.4" customHeight="1" x14ac:dyDescent="0.45">
      <c r="A19" s="29" t="s">
        <v>172</v>
      </c>
      <c r="B19" s="17"/>
      <c r="C19" s="22"/>
      <c r="D19" s="23"/>
      <c r="E19" s="24"/>
      <c r="F19" s="37">
        <f>SUM(F4:F18)</f>
        <v>570000.4</v>
      </c>
      <c r="G19" s="17"/>
      <c r="I19" s="17"/>
      <c r="J19" s="18"/>
      <c r="K19" s="18"/>
      <c r="L19" s="37">
        <f>SUM(L3:L16)</f>
        <v>0</v>
      </c>
    </row>
    <row r="20" spans="1:12" ht="22.2" x14ac:dyDescent="0.45">
      <c r="A20" s="258" t="s">
        <v>103</v>
      </c>
      <c r="B20" s="258"/>
      <c r="C20" s="258"/>
      <c r="D20" s="258"/>
      <c r="E20" s="258"/>
      <c r="F20" s="258"/>
      <c r="G20" s="258"/>
      <c r="J20"/>
      <c r="K20"/>
      <c r="L20"/>
    </row>
    <row r="21" spans="1:12" ht="23.1" customHeight="1" x14ac:dyDescent="0.45">
      <c r="A21" s="127" t="s">
        <v>38</v>
      </c>
      <c r="B21" s="127" t="s">
        <v>39</v>
      </c>
      <c r="C21" s="127" t="s">
        <v>40</v>
      </c>
      <c r="D21" s="128" t="s">
        <v>41</v>
      </c>
      <c r="E21" s="128" t="s">
        <v>42</v>
      </c>
      <c r="F21" s="128" t="s">
        <v>43</v>
      </c>
      <c r="G21" s="127" t="s">
        <v>44</v>
      </c>
      <c r="I21" s="14" t="s">
        <v>25</v>
      </c>
      <c r="J21" s="15" t="s">
        <v>26</v>
      </c>
      <c r="K21" s="15" t="s">
        <v>42</v>
      </c>
      <c r="L21" s="15" t="s">
        <v>43</v>
      </c>
    </row>
    <row r="22" spans="1:12" ht="23.4" customHeight="1" x14ac:dyDescent="0.45">
      <c r="A22" s="16" t="s">
        <v>173</v>
      </c>
      <c r="B22" s="17" t="s">
        <v>174</v>
      </c>
      <c r="C22" s="19"/>
      <c r="D22" s="23"/>
      <c r="E22" s="18"/>
      <c r="F22" s="18"/>
      <c r="G22" s="17" t="s">
        <v>149</v>
      </c>
      <c r="I22" s="17"/>
      <c r="J22" s="18"/>
      <c r="K22" s="18"/>
      <c r="L22" s="18"/>
    </row>
    <row r="23" spans="1:12" ht="23.4" customHeight="1" x14ac:dyDescent="0.45">
      <c r="A23" s="19" t="s">
        <v>150</v>
      </c>
      <c r="B23" s="17" t="s">
        <v>151</v>
      </c>
      <c r="C23" s="22">
        <v>5</v>
      </c>
      <c r="D23" s="23" t="s">
        <v>152</v>
      </c>
      <c r="E23" s="24">
        <f>26700*1.35</f>
        <v>36045</v>
      </c>
      <c r="F23" s="18">
        <f>SUM(C23*E23)</f>
        <v>180225</v>
      </c>
      <c r="G23" s="17" t="s">
        <v>153</v>
      </c>
      <c r="I23" s="19"/>
      <c r="J23" s="23"/>
      <c r="K23" s="18"/>
      <c r="L23" s="18"/>
    </row>
    <row r="24" spans="1:12" ht="23.4" customHeight="1" x14ac:dyDescent="0.45">
      <c r="A24" s="19" t="s">
        <v>154</v>
      </c>
      <c r="B24" s="21" t="s">
        <v>155</v>
      </c>
      <c r="C24" s="22">
        <v>6</v>
      </c>
      <c r="D24" s="23" t="s">
        <v>152</v>
      </c>
      <c r="E24" s="24">
        <f>23600*1.35</f>
        <v>31860.000000000004</v>
      </c>
      <c r="F24" s="18">
        <f t="shared" ref="F24:F29" si="3">SUM(C24*E24)</f>
        <v>191160.00000000003</v>
      </c>
      <c r="G24" s="17"/>
      <c r="I24" s="19"/>
      <c r="J24" s="23"/>
      <c r="K24" s="18"/>
      <c r="L24" s="18"/>
    </row>
    <row r="25" spans="1:12" ht="23.4" customHeight="1" x14ac:dyDescent="0.45">
      <c r="A25" s="19" t="s">
        <v>156</v>
      </c>
      <c r="B25" s="21" t="s">
        <v>157</v>
      </c>
      <c r="C25" s="22">
        <v>1</v>
      </c>
      <c r="D25" s="23" t="s">
        <v>133</v>
      </c>
      <c r="E25" s="24">
        <v>33000</v>
      </c>
      <c r="F25" s="18">
        <f t="shared" si="3"/>
        <v>33000</v>
      </c>
      <c r="G25" s="17"/>
      <c r="I25" s="19"/>
      <c r="J25" s="23"/>
      <c r="K25" s="18"/>
      <c r="L25" s="18"/>
    </row>
    <row r="26" spans="1:12" ht="23.4" customHeight="1" x14ac:dyDescent="0.45">
      <c r="A26" s="19" t="s">
        <v>158</v>
      </c>
      <c r="B26" s="21" t="s">
        <v>159</v>
      </c>
      <c r="C26" s="22">
        <v>1</v>
      </c>
      <c r="D26" s="23" t="s">
        <v>133</v>
      </c>
      <c r="E26" s="24">
        <v>20000</v>
      </c>
      <c r="F26" s="18">
        <f t="shared" si="3"/>
        <v>20000</v>
      </c>
      <c r="G26" s="17"/>
      <c r="I26" s="19"/>
      <c r="J26" s="23"/>
      <c r="K26" s="18"/>
      <c r="L26" s="50"/>
    </row>
    <row r="27" spans="1:12" ht="23.4" customHeight="1" x14ac:dyDescent="0.45">
      <c r="A27" s="19" t="s">
        <v>160</v>
      </c>
      <c r="B27" s="17" t="s">
        <v>161</v>
      </c>
      <c r="C27" s="22">
        <v>1</v>
      </c>
      <c r="D27" s="23" t="s">
        <v>133</v>
      </c>
      <c r="E27" s="24">
        <v>22000</v>
      </c>
      <c r="F27" s="18">
        <f t="shared" si="3"/>
        <v>22000</v>
      </c>
      <c r="G27" s="17"/>
      <c r="I27" s="19"/>
      <c r="J27" s="23"/>
      <c r="K27" s="18"/>
      <c r="L27" s="18"/>
    </row>
    <row r="28" spans="1:12" ht="23.4" customHeight="1" x14ac:dyDescent="0.45">
      <c r="A28" s="19" t="s">
        <v>162</v>
      </c>
      <c r="B28" s="119" t="s">
        <v>163</v>
      </c>
      <c r="C28" s="22">
        <v>1</v>
      </c>
      <c r="D28" s="23" t="s">
        <v>133</v>
      </c>
      <c r="E28" s="24">
        <v>95000</v>
      </c>
      <c r="F28" s="18">
        <f t="shared" si="3"/>
        <v>95000</v>
      </c>
      <c r="G28" s="17" t="s">
        <v>164</v>
      </c>
      <c r="I28" s="19"/>
      <c r="J28" s="23"/>
      <c r="K28" s="18"/>
      <c r="L28" s="18"/>
    </row>
    <row r="29" spans="1:12" ht="23.4" customHeight="1" x14ac:dyDescent="0.45">
      <c r="A29" s="19" t="s">
        <v>165</v>
      </c>
      <c r="B29" s="17" t="s">
        <v>166</v>
      </c>
      <c r="C29" s="22">
        <v>1</v>
      </c>
      <c r="D29" s="23" t="s">
        <v>133</v>
      </c>
      <c r="E29" s="24">
        <v>15000</v>
      </c>
      <c r="F29" s="18">
        <f t="shared" si="3"/>
        <v>15000</v>
      </c>
      <c r="G29" s="17"/>
      <c r="I29" s="19"/>
      <c r="J29" s="23"/>
      <c r="K29" s="18"/>
      <c r="L29" s="18"/>
    </row>
    <row r="30" spans="1:12" ht="23.4" customHeight="1" x14ac:dyDescent="0.45">
      <c r="A30" s="19" t="s">
        <v>167</v>
      </c>
      <c r="B30" s="17" t="s">
        <v>168</v>
      </c>
      <c r="C30" s="22">
        <v>1</v>
      </c>
      <c r="D30" s="23" t="s">
        <v>169</v>
      </c>
      <c r="E30" s="24">
        <v>4300</v>
      </c>
      <c r="F30" s="18"/>
      <c r="G30" s="17" t="s">
        <v>170</v>
      </c>
      <c r="I30" s="19"/>
      <c r="J30" s="23"/>
      <c r="K30" s="18"/>
      <c r="L30" s="26"/>
    </row>
    <row r="31" spans="1:12" ht="23.4" customHeight="1" x14ac:dyDescent="0.45">
      <c r="A31" s="325" t="s">
        <v>175</v>
      </c>
      <c r="B31" s="325"/>
      <c r="C31" s="325"/>
      <c r="D31" s="325"/>
      <c r="E31" s="325"/>
      <c r="F31" s="325"/>
      <c r="G31" s="325"/>
      <c r="I31" s="19"/>
      <c r="J31" s="23"/>
      <c r="K31" s="18"/>
      <c r="L31" s="38"/>
    </row>
    <row r="32" spans="1:12" ht="23.4" customHeight="1" x14ac:dyDescent="0.45">
      <c r="A32" s="19"/>
      <c r="B32" s="21"/>
      <c r="C32" s="22"/>
      <c r="D32" s="23"/>
      <c r="E32" s="24"/>
      <c r="F32" s="120"/>
      <c r="G32" s="17"/>
      <c r="I32" s="19"/>
      <c r="J32" s="23"/>
      <c r="K32" s="18"/>
      <c r="L32" s="18"/>
    </row>
    <row r="33" spans="1:12" ht="23.4" customHeight="1" x14ac:dyDescent="0.45">
      <c r="A33" s="121"/>
      <c r="B33" s="17"/>
      <c r="C33" s="22"/>
      <c r="D33" s="23"/>
      <c r="E33" s="24"/>
      <c r="F33" s="18"/>
      <c r="G33" s="17"/>
      <c r="I33" s="19"/>
      <c r="J33" s="23"/>
      <c r="K33" s="18"/>
      <c r="L33" s="18"/>
    </row>
    <row r="34" spans="1:12" ht="23.4" customHeight="1" x14ac:dyDescent="0.45">
      <c r="A34" s="121" t="s">
        <v>46</v>
      </c>
      <c r="B34" s="17"/>
      <c r="C34" s="22">
        <v>1</v>
      </c>
      <c r="D34" s="23" t="s">
        <v>31</v>
      </c>
      <c r="E34" s="24">
        <f>SUM(F23:F30)*0.004</f>
        <v>2225.54</v>
      </c>
      <c r="F34" s="18">
        <f t="shared" ref="F34:F35" si="4">SUM(C34*E34)</f>
        <v>2225.54</v>
      </c>
      <c r="G34" s="17"/>
      <c r="I34" s="19"/>
      <c r="J34" s="23"/>
      <c r="K34" s="18"/>
      <c r="L34" s="18"/>
    </row>
    <row r="35" spans="1:12" ht="23.4" customHeight="1" x14ac:dyDescent="0.45">
      <c r="A35" s="121" t="s">
        <v>49</v>
      </c>
      <c r="B35" s="17"/>
      <c r="C35" s="22">
        <v>1</v>
      </c>
      <c r="D35" s="23" t="s">
        <v>31</v>
      </c>
      <c r="E35" s="24">
        <f>SUM(F23:F30)*0.15</f>
        <v>83457.75</v>
      </c>
      <c r="F35" s="18">
        <f t="shared" si="4"/>
        <v>83457.75</v>
      </c>
      <c r="G35" s="17"/>
      <c r="I35" s="19"/>
      <c r="J35" s="23"/>
      <c r="K35" s="18"/>
      <c r="L35" s="18"/>
    </row>
    <row r="36" spans="1:12" ht="23.4" customHeight="1" x14ac:dyDescent="0.45">
      <c r="A36" s="19" t="s">
        <v>50</v>
      </c>
      <c r="B36" s="17"/>
      <c r="C36" s="22"/>
      <c r="D36" s="23"/>
      <c r="E36" s="24"/>
      <c r="F36" s="18">
        <v>-776</v>
      </c>
      <c r="G36" s="324" t="s">
        <v>115</v>
      </c>
      <c r="I36" s="19"/>
      <c r="J36" s="23"/>
      <c r="K36" s="18"/>
      <c r="L36" s="18"/>
    </row>
    <row r="37" spans="1:12" ht="23.4" customHeight="1" x14ac:dyDescent="0.45">
      <c r="A37" s="19" t="s">
        <v>171</v>
      </c>
      <c r="B37" s="17"/>
      <c r="C37" s="22">
        <v>1</v>
      </c>
      <c r="D37" s="23" t="s">
        <v>31</v>
      </c>
      <c r="E37" s="24">
        <f>SUM(F23:F24)*0.15</f>
        <v>55707.75</v>
      </c>
      <c r="F37" s="18">
        <f t="shared" ref="F37" si="5">SUM(C37*E37)</f>
        <v>55707.75</v>
      </c>
      <c r="G37" s="324"/>
      <c r="I37" s="17"/>
      <c r="J37" s="18"/>
      <c r="K37" s="18"/>
      <c r="L37" s="18"/>
    </row>
    <row r="38" spans="1:12" ht="23.4" customHeight="1" thickBot="1" x14ac:dyDescent="0.5">
      <c r="A38" s="29" t="s">
        <v>176</v>
      </c>
      <c r="B38" s="17"/>
      <c r="C38" s="22"/>
      <c r="D38" s="23"/>
      <c r="E38" s="24"/>
      <c r="F38" s="37">
        <f>SUM(F23:F37)</f>
        <v>697000.04</v>
      </c>
      <c r="G38" s="17"/>
      <c r="I38" s="17"/>
      <c r="J38" s="18"/>
      <c r="K38" s="18"/>
      <c r="L38" s="37" t="e">
        <f>L19+#REF!</f>
        <v>#REF!</v>
      </c>
    </row>
    <row r="39" spans="1:12" ht="23.4" thickTop="1" thickBot="1" x14ac:dyDescent="0.5">
      <c r="A39" s="258" t="s">
        <v>177</v>
      </c>
      <c r="B39" s="258"/>
      <c r="C39" s="258"/>
      <c r="D39" s="258"/>
      <c r="E39" s="258"/>
      <c r="F39" s="258"/>
      <c r="G39" s="258"/>
      <c r="I39" s="259" t="s">
        <v>37</v>
      </c>
      <c r="J39" s="260"/>
      <c r="K39" s="259"/>
      <c r="L39" s="260"/>
    </row>
    <row r="40" spans="1:12" ht="23.1" customHeight="1" thickTop="1" x14ac:dyDescent="0.45">
      <c r="A40" s="127" t="s">
        <v>38</v>
      </c>
      <c r="B40" s="127" t="s">
        <v>39</v>
      </c>
      <c r="C40" s="127" t="s">
        <v>40</v>
      </c>
      <c r="D40" s="128" t="s">
        <v>41</v>
      </c>
      <c r="E40" s="128" t="s">
        <v>42</v>
      </c>
      <c r="F40" s="128" t="s">
        <v>43</v>
      </c>
      <c r="G40" s="127" t="s">
        <v>44</v>
      </c>
      <c r="I40" s="14" t="s">
        <v>40</v>
      </c>
      <c r="J40" s="15" t="s">
        <v>41</v>
      </c>
      <c r="K40" s="15" t="s">
        <v>42</v>
      </c>
      <c r="L40" s="15" t="s">
        <v>43</v>
      </c>
    </row>
    <row r="41" spans="1:12" ht="23.4" customHeight="1" x14ac:dyDescent="0.45">
      <c r="A41" s="16" t="s">
        <v>178</v>
      </c>
      <c r="B41" s="17" t="s">
        <v>179</v>
      </c>
      <c r="C41" s="19"/>
      <c r="D41" s="23"/>
      <c r="E41" s="18"/>
      <c r="F41" s="18"/>
      <c r="G41" s="17" t="s">
        <v>149</v>
      </c>
      <c r="I41" s="19"/>
      <c r="J41" s="18"/>
      <c r="K41" s="18"/>
      <c r="L41" s="18"/>
    </row>
    <row r="42" spans="1:12" ht="23.4" customHeight="1" x14ac:dyDescent="0.45">
      <c r="A42" s="19" t="s">
        <v>150</v>
      </c>
      <c r="B42" s="17" t="s">
        <v>151</v>
      </c>
      <c r="C42" s="22">
        <v>5</v>
      </c>
      <c r="D42" s="23" t="s">
        <v>152</v>
      </c>
      <c r="E42" s="24">
        <f>26700*1.35</f>
        <v>36045</v>
      </c>
      <c r="F42" s="18">
        <f>SUM(C42*E42)</f>
        <v>180225</v>
      </c>
      <c r="G42" s="17" t="s">
        <v>153</v>
      </c>
      <c r="I42" s="19"/>
      <c r="J42" s="23"/>
      <c r="K42" s="24"/>
      <c r="L42" s="18">
        <f>SUM(I42*K42)</f>
        <v>0</v>
      </c>
    </row>
    <row r="43" spans="1:12" ht="23.4" customHeight="1" x14ac:dyDescent="0.45">
      <c r="A43" s="19" t="s">
        <v>154</v>
      </c>
      <c r="B43" s="21" t="s">
        <v>155</v>
      </c>
      <c r="C43" s="22">
        <v>6</v>
      </c>
      <c r="D43" s="23" t="s">
        <v>152</v>
      </c>
      <c r="E43" s="24">
        <f>23600*1.35</f>
        <v>31860.000000000004</v>
      </c>
      <c r="F43" s="18">
        <f t="shared" ref="F43:F48" si="6">SUM(C43*E43)</f>
        <v>191160.00000000003</v>
      </c>
      <c r="G43" s="17"/>
      <c r="I43" s="19"/>
      <c r="J43" s="23"/>
      <c r="K43" s="24"/>
      <c r="L43" s="18"/>
    </row>
    <row r="44" spans="1:12" ht="23.4" customHeight="1" x14ac:dyDescent="0.45">
      <c r="A44" s="19" t="s">
        <v>156</v>
      </c>
      <c r="B44" s="21" t="s">
        <v>157</v>
      </c>
      <c r="C44" s="22">
        <v>1</v>
      </c>
      <c r="D44" s="23" t="s">
        <v>133</v>
      </c>
      <c r="E44" s="24">
        <v>33000</v>
      </c>
      <c r="F44" s="18">
        <f t="shared" si="6"/>
        <v>33000</v>
      </c>
      <c r="G44" s="17"/>
      <c r="I44" s="19"/>
      <c r="J44" s="23"/>
      <c r="K44" s="24"/>
      <c r="L44" s="18">
        <f>SUM(I44*K44)</f>
        <v>0</v>
      </c>
    </row>
    <row r="45" spans="1:12" ht="23.4" customHeight="1" x14ac:dyDescent="0.45">
      <c r="A45" s="19" t="s">
        <v>158</v>
      </c>
      <c r="B45" s="21" t="s">
        <v>159</v>
      </c>
      <c r="C45" s="22">
        <v>1</v>
      </c>
      <c r="D45" s="23" t="s">
        <v>133</v>
      </c>
      <c r="E45" s="24">
        <v>20000</v>
      </c>
      <c r="F45" s="18">
        <f t="shared" si="6"/>
        <v>20000</v>
      </c>
      <c r="G45" s="17"/>
      <c r="I45" s="19"/>
      <c r="J45" s="23"/>
      <c r="K45" s="24"/>
      <c r="L45" s="18"/>
    </row>
    <row r="46" spans="1:12" ht="23.4" customHeight="1" x14ac:dyDescent="0.45">
      <c r="A46" s="19" t="s">
        <v>160</v>
      </c>
      <c r="B46" s="17" t="s">
        <v>161</v>
      </c>
      <c r="C46" s="22">
        <v>1</v>
      </c>
      <c r="D46" s="23" t="s">
        <v>133</v>
      </c>
      <c r="E46" s="24">
        <v>22000</v>
      </c>
      <c r="F46" s="18">
        <f t="shared" si="6"/>
        <v>22000</v>
      </c>
      <c r="G46" s="17"/>
      <c r="I46" s="118"/>
      <c r="J46" s="43"/>
      <c r="K46" s="24"/>
      <c r="L46" s="18">
        <f>SUM(I46*K46)</f>
        <v>0</v>
      </c>
    </row>
    <row r="47" spans="1:12" ht="23.4" customHeight="1" x14ac:dyDescent="0.45">
      <c r="A47" s="19" t="s">
        <v>162</v>
      </c>
      <c r="B47" s="119" t="s">
        <v>163</v>
      </c>
      <c r="C47" s="22">
        <v>1</v>
      </c>
      <c r="D47" s="23" t="s">
        <v>133</v>
      </c>
      <c r="E47" s="24">
        <v>95000</v>
      </c>
      <c r="F47" s="18">
        <f t="shared" si="6"/>
        <v>95000</v>
      </c>
      <c r="G47" s="17" t="s">
        <v>164</v>
      </c>
      <c r="I47" s="19"/>
      <c r="J47" s="23"/>
      <c r="K47" s="24"/>
      <c r="L47" s="26"/>
    </row>
    <row r="48" spans="1:12" ht="23.4" customHeight="1" x14ac:dyDescent="0.45">
      <c r="A48" s="19" t="s">
        <v>165</v>
      </c>
      <c r="B48" s="17" t="s">
        <v>166</v>
      </c>
      <c r="C48" s="22">
        <v>1</v>
      </c>
      <c r="D48" s="23" t="s">
        <v>133</v>
      </c>
      <c r="E48" s="24">
        <v>15000</v>
      </c>
      <c r="F48" s="18">
        <f t="shared" si="6"/>
        <v>15000</v>
      </c>
      <c r="G48" s="17"/>
      <c r="I48" s="118"/>
      <c r="J48" s="43"/>
      <c r="K48" s="24"/>
      <c r="L48" s="18">
        <f>SUM(I48*K48)</f>
        <v>0</v>
      </c>
    </row>
    <row r="49" spans="1:12" ht="23.4" customHeight="1" x14ac:dyDescent="0.45">
      <c r="A49" s="19" t="s">
        <v>167</v>
      </c>
      <c r="B49" s="17" t="s">
        <v>168</v>
      </c>
      <c r="C49" s="22">
        <v>1</v>
      </c>
      <c r="D49" s="23" t="s">
        <v>169</v>
      </c>
      <c r="E49" s="24">
        <v>4300</v>
      </c>
      <c r="F49" s="18"/>
      <c r="G49" s="17" t="s">
        <v>170</v>
      </c>
      <c r="I49" s="19"/>
      <c r="J49" s="23"/>
      <c r="K49" s="24"/>
      <c r="L49" s="26"/>
    </row>
    <row r="50" spans="1:12" ht="23.4" customHeight="1" x14ac:dyDescent="0.45">
      <c r="A50" s="325" t="s">
        <v>175</v>
      </c>
      <c r="B50" s="325"/>
      <c r="C50" s="325"/>
      <c r="D50" s="325"/>
      <c r="E50" s="325"/>
      <c r="F50" s="325"/>
      <c r="G50" s="325"/>
      <c r="I50" s="19"/>
      <c r="J50" s="23"/>
      <c r="K50" s="24"/>
      <c r="L50" s="18">
        <f>SUM(I50*K50)</f>
        <v>0</v>
      </c>
    </row>
    <row r="51" spans="1:12" ht="23.4" customHeight="1" x14ac:dyDescent="0.45">
      <c r="A51" s="29"/>
      <c r="B51" s="17"/>
      <c r="C51" s="22"/>
      <c r="D51" s="23"/>
      <c r="E51" s="24"/>
      <c r="F51" s="37"/>
      <c r="G51" s="17"/>
      <c r="I51" s="19"/>
      <c r="J51" s="23"/>
      <c r="K51" s="24"/>
      <c r="L51" s="18"/>
    </row>
    <row r="52" spans="1:12" ht="23.4" customHeight="1" x14ac:dyDescent="0.45">
      <c r="A52" s="19"/>
      <c r="B52" s="21"/>
      <c r="C52" s="22"/>
      <c r="D52" s="23"/>
      <c r="E52" s="24"/>
      <c r="F52" s="120"/>
      <c r="G52" s="17"/>
      <c r="I52" s="32"/>
      <c r="J52" s="33"/>
      <c r="K52" s="34"/>
      <c r="L52" s="34"/>
    </row>
    <row r="53" spans="1:12" ht="23.4" customHeight="1" x14ac:dyDescent="0.45">
      <c r="A53" s="29"/>
      <c r="B53" s="17"/>
      <c r="C53" s="22"/>
      <c r="D53" s="23"/>
      <c r="E53" s="125"/>
      <c r="F53" s="18"/>
      <c r="G53" s="17"/>
      <c r="I53" s="19"/>
      <c r="J53" s="23"/>
      <c r="K53" s="18"/>
      <c r="L53" s="18"/>
    </row>
    <row r="54" spans="1:12" ht="23.4" customHeight="1" x14ac:dyDescent="0.45">
      <c r="A54" s="121" t="s">
        <v>46</v>
      </c>
      <c r="B54" s="17"/>
      <c r="C54" s="22">
        <v>1</v>
      </c>
      <c r="D54" s="23" t="s">
        <v>31</v>
      </c>
      <c r="E54" s="24">
        <f>SUM(F42:F49)*0.004</f>
        <v>2225.54</v>
      </c>
      <c r="F54" s="18">
        <f t="shared" ref="F54" si="7">SUM(C54*E54)</f>
        <v>2225.54</v>
      </c>
      <c r="G54" s="17"/>
      <c r="I54" s="19"/>
      <c r="J54" s="23"/>
      <c r="K54" s="18"/>
      <c r="L54" s="18"/>
    </row>
    <row r="55" spans="1:12" ht="23.4" customHeight="1" x14ac:dyDescent="0.45">
      <c r="A55" s="121" t="s">
        <v>49</v>
      </c>
      <c r="B55" s="17"/>
      <c r="C55" s="22">
        <v>1</v>
      </c>
      <c r="D55" s="23" t="s">
        <v>31</v>
      </c>
      <c r="E55" s="24">
        <f>SUM(F43:F50)*0.15</f>
        <v>56424</v>
      </c>
      <c r="F55" s="18">
        <f t="shared" ref="F55" si="8">SUM(C55*E55)</f>
        <v>56424</v>
      </c>
      <c r="G55" s="17"/>
      <c r="I55" s="123">
        <f>SUM(F42:F52)</f>
        <v>556385</v>
      </c>
      <c r="J55" s="23"/>
      <c r="K55" s="18"/>
      <c r="L55" s="18"/>
    </row>
    <row r="56" spans="1:12" ht="23.4" customHeight="1" x14ac:dyDescent="0.45">
      <c r="A56" s="19" t="s">
        <v>50</v>
      </c>
      <c r="B56" s="17"/>
      <c r="C56" s="22"/>
      <c r="D56" s="23"/>
      <c r="E56" s="24"/>
      <c r="F56" s="18">
        <v>-742</v>
      </c>
      <c r="G56" s="324" t="s">
        <v>115</v>
      </c>
      <c r="I56" s="124">
        <f>SUM(E57/I55)</f>
        <v>0.10012446417498674</v>
      </c>
      <c r="J56" s="18"/>
      <c r="K56" s="18"/>
      <c r="L56" s="18"/>
    </row>
    <row r="57" spans="1:12" ht="23.4" customHeight="1" x14ac:dyDescent="0.45">
      <c r="A57" s="19" t="s">
        <v>171</v>
      </c>
      <c r="B57" s="17"/>
      <c r="C57" s="22">
        <v>1</v>
      </c>
      <c r="D57" s="23" t="s">
        <v>31</v>
      </c>
      <c r="E57" s="24">
        <f>SUM(F42:F43)*0.15</f>
        <v>55707.75</v>
      </c>
      <c r="F57" s="18">
        <f t="shared" ref="F57" si="9">SUM(C57*E57)</f>
        <v>55707.75</v>
      </c>
      <c r="G57" s="324"/>
      <c r="I57" s="17"/>
      <c r="J57" s="18"/>
      <c r="K57" s="18"/>
      <c r="L57" s="18"/>
    </row>
    <row r="58" spans="1:12" ht="23.4" customHeight="1" thickBot="1" x14ac:dyDescent="0.5">
      <c r="A58" s="29" t="s">
        <v>180</v>
      </c>
      <c r="B58" s="17"/>
      <c r="C58" s="22"/>
      <c r="D58" s="23"/>
      <c r="E58" s="24"/>
      <c r="F58" s="37">
        <f>SUM(F42:F57)</f>
        <v>670000.29</v>
      </c>
      <c r="G58" s="17"/>
      <c r="I58" s="17"/>
      <c r="J58" s="18"/>
      <c r="K58" s="18"/>
      <c r="L58" s="37">
        <f>SUM(L41:L55)</f>
        <v>0</v>
      </c>
    </row>
    <row r="59" spans="1:12" ht="23.4" thickTop="1" thickBot="1" x14ac:dyDescent="0.5">
      <c r="A59" s="258" t="s">
        <v>101</v>
      </c>
      <c r="B59" s="258"/>
      <c r="C59" s="258"/>
      <c r="D59" s="258"/>
      <c r="E59" s="258"/>
      <c r="F59" s="258"/>
      <c r="G59" s="258"/>
      <c r="I59" s="259" t="s">
        <v>37</v>
      </c>
      <c r="J59" s="260"/>
      <c r="K59" s="259"/>
      <c r="L59" s="260"/>
    </row>
    <row r="60" spans="1:12" ht="23.1" customHeight="1" thickTop="1" x14ac:dyDescent="0.45">
      <c r="A60" s="127" t="s">
        <v>38</v>
      </c>
      <c r="B60" s="127" t="s">
        <v>39</v>
      </c>
      <c r="C60" s="127" t="s">
        <v>40</v>
      </c>
      <c r="D60" s="128" t="s">
        <v>41</v>
      </c>
      <c r="E60" s="128" t="s">
        <v>42</v>
      </c>
      <c r="F60" s="128" t="s">
        <v>43</v>
      </c>
      <c r="G60" s="127" t="s">
        <v>44</v>
      </c>
      <c r="I60" s="14" t="s">
        <v>40</v>
      </c>
      <c r="J60" s="15" t="s">
        <v>41</v>
      </c>
      <c r="K60" s="15" t="s">
        <v>42</v>
      </c>
      <c r="L60" s="15" t="s">
        <v>43</v>
      </c>
    </row>
    <row r="61" spans="1:12" ht="23.25" customHeight="1" x14ac:dyDescent="0.45">
      <c r="A61" s="16" t="s">
        <v>181</v>
      </c>
      <c r="B61" s="119" t="s">
        <v>182</v>
      </c>
      <c r="C61" s="19"/>
      <c r="D61" s="23"/>
      <c r="E61" s="18"/>
      <c r="F61" s="18"/>
      <c r="G61" s="17" t="s">
        <v>149</v>
      </c>
      <c r="I61" s="19"/>
      <c r="J61" s="18"/>
      <c r="K61" s="18"/>
      <c r="L61" s="18"/>
    </row>
    <row r="62" spans="1:12" ht="23.4" customHeight="1" x14ac:dyDescent="0.45">
      <c r="A62" s="19" t="s">
        <v>150</v>
      </c>
      <c r="B62" s="17" t="s">
        <v>183</v>
      </c>
      <c r="C62" s="22">
        <v>3</v>
      </c>
      <c r="D62" s="23" t="s">
        <v>152</v>
      </c>
      <c r="E62" s="24">
        <f>26700*1.35</f>
        <v>36045</v>
      </c>
      <c r="F62" s="18">
        <f>SUM(C62*E62)</f>
        <v>108135</v>
      </c>
      <c r="G62" s="17" t="s">
        <v>153</v>
      </c>
      <c r="I62" s="19"/>
      <c r="J62" s="23"/>
      <c r="K62" s="24"/>
      <c r="L62" s="18">
        <f>SUM(I62*K62)</f>
        <v>0</v>
      </c>
    </row>
    <row r="63" spans="1:12" ht="23.4" customHeight="1" x14ac:dyDescent="0.45">
      <c r="A63" s="19" t="s">
        <v>154</v>
      </c>
      <c r="B63" s="21" t="s">
        <v>184</v>
      </c>
      <c r="C63" s="22">
        <v>5</v>
      </c>
      <c r="D63" s="23" t="s">
        <v>152</v>
      </c>
      <c r="E63" s="24">
        <f>23600*1.35</f>
        <v>31860.000000000004</v>
      </c>
      <c r="F63" s="18">
        <f t="shared" ref="F63:F68" si="10">SUM(C63*E63)</f>
        <v>159300.00000000003</v>
      </c>
      <c r="G63" s="17"/>
      <c r="I63" s="19"/>
      <c r="J63" s="23"/>
      <c r="K63" s="24"/>
      <c r="L63" s="18"/>
    </row>
    <row r="64" spans="1:12" ht="23.4" customHeight="1" x14ac:dyDescent="0.45">
      <c r="A64" s="19" t="s">
        <v>156</v>
      </c>
      <c r="B64" s="21" t="s">
        <v>185</v>
      </c>
      <c r="C64" s="22">
        <v>1</v>
      </c>
      <c r="D64" s="23" t="s">
        <v>133</v>
      </c>
      <c r="E64" s="24">
        <v>17000</v>
      </c>
      <c r="F64" s="18">
        <f t="shared" si="10"/>
        <v>17000</v>
      </c>
      <c r="G64" s="17"/>
      <c r="I64" s="19"/>
      <c r="J64" s="23"/>
      <c r="K64" s="24"/>
      <c r="L64" s="18">
        <f>SUM(I64*K64)</f>
        <v>0</v>
      </c>
    </row>
    <row r="65" spans="1:12" ht="23.4" customHeight="1" x14ac:dyDescent="0.45">
      <c r="A65" s="19" t="s">
        <v>158</v>
      </c>
      <c r="B65" s="21" t="s">
        <v>186</v>
      </c>
      <c r="C65" s="22">
        <v>1</v>
      </c>
      <c r="D65" s="23" t="s">
        <v>133</v>
      </c>
      <c r="E65" s="24">
        <v>17000</v>
      </c>
      <c r="F65" s="18">
        <f t="shared" si="10"/>
        <v>17000</v>
      </c>
      <c r="G65" s="17"/>
      <c r="I65" s="19"/>
      <c r="J65" s="23"/>
      <c r="K65" s="24"/>
      <c r="L65" s="18"/>
    </row>
    <row r="66" spans="1:12" ht="23.4" customHeight="1" x14ac:dyDescent="0.45">
      <c r="A66" s="19" t="s">
        <v>160</v>
      </c>
      <c r="B66" s="17" t="s">
        <v>161</v>
      </c>
      <c r="C66" s="22">
        <v>1</v>
      </c>
      <c r="D66" s="23" t="s">
        <v>133</v>
      </c>
      <c r="E66" s="24">
        <v>16500</v>
      </c>
      <c r="F66" s="18">
        <f t="shared" si="10"/>
        <v>16500</v>
      </c>
      <c r="G66" s="17"/>
      <c r="I66" s="118"/>
      <c r="J66" s="43"/>
      <c r="K66" s="24"/>
      <c r="L66" s="18">
        <f>SUM(I66*K66)</f>
        <v>0</v>
      </c>
    </row>
    <row r="67" spans="1:12" ht="23.4" customHeight="1" x14ac:dyDescent="0.45">
      <c r="A67" s="19" t="s">
        <v>162</v>
      </c>
      <c r="B67" s="119" t="s">
        <v>187</v>
      </c>
      <c r="C67" s="22">
        <v>1</v>
      </c>
      <c r="D67" s="23" t="s">
        <v>133</v>
      </c>
      <c r="E67" s="24">
        <v>21000</v>
      </c>
      <c r="F67" s="18">
        <f t="shared" si="10"/>
        <v>21000</v>
      </c>
      <c r="G67" s="17"/>
      <c r="I67" s="19"/>
      <c r="J67" s="23"/>
      <c r="K67" s="24"/>
      <c r="L67" s="26"/>
    </row>
    <row r="68" spans="1:12" ht="23.4" customHeight="1" x14ac:dyDescent="0.45">
      <c r="A68" s="19" t="s">
        <v>165</v>
      </c>
      <c r="B68" s="17" t="s">
        <v>166</v>
      </c>
      <c r="C68" s="22">
        <v>1</v>
      </c>
      <c r="D68" s="23" t="s">
        <v>133</v>
      </c>
      <c r="E68" s="24">
        <v>10000</v>
      </c>
      <c r="F68" s="18">
        <f t="shared" si="10"/>
        <v>10000</v>
      </c>
      <c r="G68" s="17"/>
      <c r="I68" s="118"/>
      <c r="J68" s="43"/>
      <c r="K68" s="24"/>
      <c r="L68" s="18">
        <f>SUM(I68*K68)</f>
        <v>0</v>
      </c>
    </row>
    <row r="69" spans="1:12" ht="23.4" customHeight="1" x14ac:dyDescent="0.45">
      <c r="A69" s="19" t="s">
        <v>167</v>
      </c>
      <c r="B69" s="17" t="s">
        <v>168</v>
      </c>
      <c r="C69" s="22">
        <v>1</v>
      </c>
      <c r="D69" s="23" t="s">
        <v>169</v>
      </c>
      <c r="E69" s="24">
        <v>4300</v>
      </c>
      <c r="F69" s="18"/>
      <c r="G69" s="17" t="s">
        <v>170</v>
      </c>
      <c r="I69" s="19"/>
      <c r="J69" s="23"/>
      <c r="K69" s="24"/>
      <c r="L69" s="26"/>
    </row>
    <row r="70" spans="1:12" ht="23.4" customHeight="1" x14ac:dyDescent="0.45">
      <c r="A70" s="325" t="s">
        <v>175</v>
      </c>
      <c r="B70" s="325"/>
      <c r="C70" s="325"/>
      <c r="D70" s="325"/>
      <c r="E70" s="325"/>
      <c r="F70" s="325"/>
      <c r="G70" s="325"/>
      <c r="I70" s="19"/>
      <c r="J70" s="23"/>
      <c r="K70" s="24"/>
      <c r="L70" s="18">
        <f>SUM(I70*K70)</f>
        <v>0</v>
      </c>
    </row>
    <row r="71" spans="1:12" ht="23.4" customHeight="1" x14ac:dyDescent="0.45">
      <c r="A71" s="19"/>
      <c r="B71" s="21"/>
      <c r="C71" s="22"/>
      <c r="D71" s="23"/>
      <c r="E71" s="24"/>
      <c r="F71" s="120"/>
      <c r="G71" s="17"/>
      <c r="I71" s="19"/>
      <c r="J71" s="23"/>
      <c r="K71" s="24"/>
      <c r="L71" s="18"/>
    </row>
    <row r="72" spans="1:12" ht="23.4" customHeight="1" x14ac:dyDescent="0.45">
      <c r="A72" s="19"/>
      <c r="B72" s="21"/>
      <c r="C72" s="22"/>
      <c r="D72" s="23"/>
      <c r="E72" s="24"/>
      <c r="F72" s="120"/>
      <c r="G72" s="17"/>
      <c r="I72" s="19"/>
      <c r="J72" s="23"/>
      <c r="K72" s="24"/>
      <c r="L72" s="18"/>
    </row>
    <row r="73" spans="1:12" ht="23.4" customHeight="1" x14ac:dyDescent="0.45">
      <c r="A73" s="19"/>
      <c r="B73" s="21"/>
      <c r="C73" s="22"/>
      <c r="D73" s="23"/>
      <c r="E73" s="24"/>
      <c r="F73" s="120"/>
      <c r="G73" s="17"/>
      <c r="I73" s="32"/>
      <c r="J73" s="33"/>
      <c r="K73" s="34"/>
      <c r="L73" s="34"/>
    </row>
    <row r="74" spans="1:12" ht="23.4" customHeight="1" x14ac:dyDescent="0.45">
      <c r="A74" s="29"/>
      <c r="B74" s="17"/>
      <c r="C74" s="22"/>
      <c r="D74" s="23"/>
      <c r="E74" s="125"/>
      <c r="F74" s="18"/>
      <c r="G74" s="17"/>
      <c r="I74" s="19"/>
      <c r="J74" s="23"/>
      <c r="K74" s="18"/>
      <c r="L74" s="18"/>
    </row>
    <row r="75" spans="1:12" ht="23.4" customHeight="1" x14ac:dyDescent="0.45">
      <c r="A75" s="121" t="s">
        <v>46</v>
      </c>
      <c r="B75" s="17"/>
      <c r="C75" s="22">
        <v>1</v>
      </c>
      <c r="D75" s="23" t="s">
        <v>31</v>
      </c>
      <c r="E75" s="24">
        <f>SUM(F62:F69)*0.004</f>
        <v>1395.74</v>
      </c>
      <c r="F75" s="18">
        <f t="shared" ref="F75:F76" si="11">SUM(C75*E75)</f>
        <v>1395.74</v>
      </c>
      <c r="G75" s="17"/>
      <c r="I75" s="19"/>
      <c r="J75" s="23"/>
      <c r="K75" s="18"/>
      <c r="L75" s="18"/>
    </row>
    <row r="76" spans="1:12" ht="23.4" customHeight="1" x14ac:dyDescent="0.45">
      <c r="A76" s="121" t="s">
        <v>49</v>
      </c>
      <c r="B76" s="17"/>
      <c r="C76" s="22">
        <v>1</v>
      </c>
      <c r="D76" s="23" t="s">
        <v>31</v>
      </c>
      <c r="E76" s="24">
        <f>SUM(F64:F71)*0.15</f>
        <v>12225</v>
      </c>
      <c r="F76" s="18">
        <f t="shared" si="11"/>
        <v>12225</v>
      </c>
      <c r="G76" s="17"/>
      <c r="I76" s="123">
        <f>SUM(F62:F73)</f>
        <v>348935</v>
      </c>
      <c r="J76" s="23"/>
      <c r="K76" s="18"/>
      <c r="L76" s="18"/>
    </row>
    <row r="77" spans="1:12" ht="23.4" customHeight="1" x14ac:dyDescent="0.45">
      <c r="A77" s="19" t="s">
        <v>50</v>
      </c>
      <c r="B77" s="17"/>
      <c r="C77" s="22"/>
      <c r="D77" s="23"/>
      <c r="E77" s="24"/>
      <c r="F77" s="18">
        <v>-671</v>
      </c>
      <c r="G77" s="324" t="s">
        <v>115</v>
      </c>
      <c r="I77" s="124">
        <f>SUM(E78/I76)</f>
        <v>0.11496482152836489</v>
      </c>
      <c r="J77" s="18"/>
      <c r="K77" s="18"/>
      <c r="L77" s="18"/>
    </row>
    <row r="78" spans="1:12" ht="23.4" customHeight="1" x14ac:dyDescent="0.45">
      <c r="A78" s="19" t="s">
        <v>171</v>
      </c>
      <c r="B78" s="17"/>
      <c r="C78" s="22">
        <v>1</v>
      </c>
      <c r="D78" s="23" t="s">
        <v>31</v>
      </c>
      <c r="E78" s="24">
        <f>SUM(F62:F63)*0.15</f>
        <v>40115.25</v>
      </c>
      <c r="F78" s="18">
        <f t="shared" ref="F78" si="12">SUM(C78*E78)</f>
        <v>40115.25</v>
      </c>
      <c r="G78" s="324"/>
      <c r="I78" s="17"/>
      <c r="J78" s="18"/>
      <c r="K78" s="18"/>
      <c r="L78" s="18"/>
    </row>
    <row r="79" spans="1:12" ht="23.4" customHeight="1" thickBot="1" x14ac:dyDescent="0.5">
      <c r="A79" s="29" t="s">
        <v>188</v>
      </c>
      <c r="B79" s="17"/>
      <c r="C79" s="22"/>
      <c r="D79" s="23"/>
      <c r="E79" s="24"/>
      <c r="F79" s="37">
        <f>SUM(F62:F78)</f>
        <v>401999.99</v>
      </c>
      <c r="G79" s="17"/>
      <c r="I79" s="17"/>
      <c r="J79" s="18"/>
      <c r="K79" s="18"/>
      <c r="L79" s="37">
        <f>SUM(L61:L76)</f>
        <v>0</v>
      </c>
    </row>
    <row r="80" spans="1:12" ht="23.4" thickTop="1" thickBot="1" x14ac:dyDescent="0.5">
      <c r="A80" s="258" t="s">
        <v>189</v>
      </c>
      <c r="B80" s="258"/>
      <c r="C80" s="258"/>
      <c r="D80" s="258"/>
      <c r="E80" s="258"/>
      <c r="F80" s="258"/>
      <c r="G80" s="258"/>
      <c r="I80" s="259" t="s">
        <v>37</v>
      </c>
      <c r="J80" s="260"/>
      <c r="K80" s="259"/>
      <c r="L80" s="260"/>
    </row>
    <row r="81" spans="1:12" ht="23.1" customHeight="1" thickTop="1" x14ac:dyDescent="0.45">
      <c r="A81" s="127" t="s">
        <v>38</v>
      </c>
      <c r="B81" s="127" t="s">
        <v>39</v>
      </c>
      <c r="C81" s="127" t="s">
        <v>40</v>
      </c>
      <c r="D81" s="128" t="s">
        <v>41</v>
      </c>
      <c r="E81" s="128" t="s">
        <v>42</v>
      </c>
      <c r="F81" s="128" t="s">
        <v>43</v>
      </c>
      <c r="G81" s="127" t="s">
        <v>44</v>
      </c>
      <c r="I81" s="14" t="s">
        <v>40</v>
      </c>
      <c r="J81" s="15" t="s">
        <v>41</v>
      </c>
      <c r="K81" s="15" t="s">
        <v>42</v>
      </c>
      <c r="L81" s="15" t="s">
        <v>43</v>
      </c>
    </row>
    <row r="82" spans="1:12" ht="23.25" customHeight="1" x14ac:dyDescent="0.45">
      <c r="A82" s="16" t="s">
        <v>190</v>
      </c>
      <c r="B82" s="119" t="s">
        <v>222</v>
      </c>
      <c r="C82" s="19"/>
      <c r="D82" s="23"/>
      <c r="E82" s="18"/>
      <c r="F82" s="18"/>
      <c r="G82" s="17" t="s">
        <v>149</v>
      </c>
      <c r="I82" s="19"/>
      <c r="J82" s="18"/>
      <c r="K82" s="18"/>
      <c r="L82" s="18"/>
    </row>
    <row r="83" spans="1:12" ht="23.4" customHeight="1" x14ac:dyDescent="0.45">
      <c r="A83" s="19" t="s">
        <v>150</v>
      </c>
      <c r="B83" s="17" t="s">
        <v>151</v>
      </c>
      <c r="C83" s="22">
        <v>5</v>
      </c>
      <c r="D83" s="23" t="s">
        <v>152</v>
      </c>
      <c r="E83" s="24">
        <v>26700</v>
      </c>
      <c r="F83" s="18">
        <f>SUM(C83*E83)</f>
        <v>133500</v>
      </c>
      <c r="G83" s="17" t="s">
        <v>153</v>
      </c>
      <c r="I83" s="19"/>
      <c r="J83" s="23"/>
      <c r="K83" s="24"/>
      <c r="L83" s="18">
        <f>SUM(I83*K83)</f>
        <v>0</v>
      </c>
    </row>
    <row r="84" spans="1:12" ht="23.4" customHeight="1" x14ac:dyDescent="0.45">
      <c r="A84" s="19" t="s">
        <v>154</v>
      </c>
      <c r="B84" s="21" t="s">
        <v>155</v>
      </c>
      <c r="C84" s="22">
        <v>6</v>
      </c>
      <c r="D84" s="23" t="s">
        <v>152</v>
      </c>
      <c r="E84" s="24">
        <v>23600</v>
      </c>
      <c r="F84" s="18">
        <f t="shared" ref="F84:F88" si="13">SUM(C84*E84)</f>
        <v>141600</v>
      </c>
      <c r="G84" s="17"/>
      <c r="I84" s="19"/>
      <c r="J84" s="23"/>
      <c r="K84" s="24"/>
      <c r="L84" s="18"/>
    </row>
    <row r="85" spans="1:12" ht="23.4" customHeight="1" x14ac:dyDescent="0.45">
      <c r="A85" s="19" t="s">
        <v>158</v>
      </c>
      <c r="B85" s="21" t="s">
        <v>159</v>
      </c>
      <c r="C85" s="22">
        <v>1</v>
      </c>
      <c r="D85" s="23" t="s">
        <v>133</v>
      </c>
      <c r="E85" s="24">
        <v>20000</v>
      </c>
      <c r="F85" s="18">
        <f t="shared" si="13"/>
        <v>20000</v>
      </c>
      <c r="G85" s="17"/>
      <c r="I85" s="19"/>
      <c r="J85" s="23"/>
      <c r="K85" s="24"/>
      <c r="L85" s="18"/>
    </row>
    <row r="86" spans="1:12" ht="23.4" customHeight="1" x14ac:dyDescent="0.45">
      <c r="A86" s="19" t="s">
        <v>160</v>
      </c>
      <c r="B86" s="17" t="s">
        <v>161</v>
      </c>
      <c r="C86" s="22">
        <v>1</v>
      </c>
      <c r="D86" s="23" t="s">
        <v>133</v>
      </c>
      <c r="E86" s="24">
        <v>22000</v>
      </c>
      <c r="F86" s="18">
        <f t="shared" si="13"/>
        <v>22000</v>
      </c>
      <c r="G86" s="17"/>
      <c r="I86" s="118"/>
      <c r="J86" s="43"/>
      <c r="K86" s="24"/>
      <c r="L86" s="18">
        <f>SUM(I86*K86)</f>
        <v>0</v>
      </c>
    </row>
    <row r="87" spans="1:12" ht="23.4" customHeight="1" x14ac:dyDescent="0.45">
      <c r="A87" s="19" t="s">
        <v>162</v>
      </c>
      <c r="B87" s="119" t="s">
        <v>163</v>
      </c>
      <c r="C87" s="22">
        <v>1</v>
      </c>
      <c r="D87" s="23" t="s">
        <v>133</v>
      </c>
      <c r="E87" s="24">
        <v>95000</v>
      </c>
      <c r="F87" s="18">
        <f t="shared" si="13"/>
        <v>95000</v>
      </c>
      <c r="G87" s="17" t="s">
        <v>191</v>
      </c>
      <c r="I87" s="19"/>
      <c r="J87" s="23"/>
      <c r="K87" s="24"/>
      <c r="L87" s="26"/>
    </row>
    <row r="88" spans="1:12" ht="23.4" customHeight="1" x14ac:dyDescent="0.45">
      <c r="A88" s="19" t="s">
        <v>165</v>
      </c>
      <c r="B88" s="17" t="s">
        <v>166</v>
      </c>
      <c r="C88" s="22">
        <v>1</v>
      </c>
      <c r="D88" s="23" t="s">
        <v>133</v>
      </c>
      <c r="E88" s="24">
        <v>12000</v>
      </c>
      <c r="F88" s="18">
        <f t="shared" si="13"/>
        <v>12000</v>
      </c>
      <c r="G88" s="17"/>
      <c r="I88" s="118"/>
      <c r="J88" s="43"/>
      <c r="K88" s="24"/>
      <c r="L88" s="18">
        <f>SUM(I88*K88)</f>
        <v>0</v>
      </c>
    </row>
    <row r="89" spans="1:12" ht="23.4" customHeight="1" x14ac:dyDescent="0.45">
      <c r="A89" s="19" t="s">
        <v>167</v>
      </c>
      <c r="B89" s="17" t="s">
        <v>168</v>
      </c>
      <c r="C89" s="22">
        <v>1</v>
      </c>
      <c r="D89" s="23" t="s">
        <v>169</v>
      </c>
      <c r="E89" s="24">
        <v>3400</v>
      </c>
      <c r="F89" s="18"/>
      <c r="G89" s="17" t="s">
        <v>170</v>
      </c>
      <c r="I89" s="19"/>
      <c r="J89" s="23"/>
      <c r="K89" s="24"/>
      <c r="L89" s="26"/>
    </row>
    <row r="90" spans="1:12" ht="23.4" customHeight="1" x14ac:dyDescent="0.45">
      <c r="A90" s="19"/>
      <c r="B90" s="17"/>
      <c r="C90" s="22"/>
      <c r="D90" s="23"/>
      <c r="E90" s="24"/>
      <c r="F90" s="18"/>
      <c r="G90" s="17"/>
      <c r="I90" s="19"/>
      <c r="J90" s="23"/>
      <c r="K90" s="24"/>
      <c r="L90" s="26"/>
    </row>
    <row r="91" spans="1:12" ht="23.4" customHeight="1" x14ac:dyDescent="0.45">
      <c r="A91" s="121"/>
      <c r="B91" s="17"/>
      <c r="C91" s="22"/>
      <c r="D91" s="23"/>
      <c r="E91" s="24"/>
      <c r="F91" s="18"/>
      <c r="G91" s="17"/>
      <c r="I91" s="19"/>
      <c r="J91" s="23"/>
      <c r="K91" s="24"/>
      <c r="L91" s="18">
        <f>SUM(I91*K91)</f>
        <v>0</v>
      </c>
    </row>
    <row r="92" spans="1:12" ht="23.4" customHeight="1" x14ac:dyDescent="0.45">
      <c r="A92" s="121"/>
      <c r="B92" s="17"/>
      <c r="C92" s="22"/>
      <c r="D92" s="23"/>
      <c r="E92" s="24"/>
      <c r="F92" s="18"/>
      <c r="G92" s="17"/>
      <c r="I92" s="19"/>
      <c r="J92" s="23"/>
      <c r="K92" s="24"/>
      <c r="L92" s="18"/>
    </row>
    <row r="93" spans="1:12" ht="23.4" customHeight="1" x14ac:dyDescent="0.45">
      <c r="A93" s="19"/>
      <c r="B93" s="17"/>
      <c r="C93" s="22"/>
      <c r="D93" s="23"/>
      <c r="E93" s="24"/>
      <c r="F93" s="18"/>
      <c r="G93" s="17"/>
      <c r="I93" s="19"/>
      <c r="J93" s="23"/>
      <c r="K93" s="24"/>
      <c r="L93" s="18"/>
    </row>
    <row r="94" spans="1:12" ht="23.4" customHeight="1" x14ac:dyDescent="0.45">
      <c r="A94" s="19"/>
      <c r="B94" s="17"/>
      <c r="C94" s="22"/>
      <c r="D94" s="23"/>
      <c r="E94" s="24"/>
      <c r="F94" s="18"/>
      <c r="G94" s="17"/>
      <c r="I94" s="19"/>
      <c r="J94" s="23"/>
      <c r="K94" s="24"/>
      <c r="L94" s="18"/>
    </row>
    <row r="95" spans="1:12" ht="23.4" customHeight="1" x14ac:dyDescent="0.45">
      <c r="A95" s="121" t="s">
        <v>46</v>
      </c>
      <c r="B95" s="17"/>
      <c r="C95" s="22">
        <v>1</v>
      </c>
      <c r="D95" s="23" t="s">
        <v>31</v>
      </c>
      <c r="E95" s="24">
        <f>SUM(F82:F89)*0.004</f>
        <v>1696.4</v>
      </c>
      <c r="F95" s="18">
        <f t="shared" ref="F95:F96" si="14">SUM(C95*E95)</f>
        <v>1696.4</v>
      </c>
      <c r="G95" s="17"/>
      <c r="I95" s="19"/>
      <c r="J95" s="23"/>
      <c r="K95" s="18"/>
      <c r="L95" s="18"/>
    </row>
    <row r="96" spans="1:12" ht="23.4" customHeight="1" x14ac:dyDescent="0.45">
      <c r="A96" s="121" t="s">
        <v>49</v>
      </c>
      <c r="B96" s="17"/>
      <c r="C96" s="22">
        <v>1</v>
      </c>
      <c r="D96" s="23" t="s">
        <v>31</v>
      </c>
      <c r="E96" s="24">
        <f>SUM(F84:F91)*0.15</f>
        <v>43590</v>
      </c>
      <c r="F96" s="18">
        <f t="shared" si="14"/>
        <v>43590</v>
      </c>
      <c r="G96" s="17"/>
      <c r="I96" s="123">
        <f>SUM(F83:F94)</f>
        <v>424100</v>
      </c>
      <c r="J96" s="23"/>
      <c r="K96" s="18"/>
      <c r="L96" s="18"/>
    </row>
    <row r="97" spans="1:12" ht="23.4" customHeight="1" x14ac:dyDescent="0.45">
      <c r="A97" s="19" t="s">
        <v>50</v>
      </c>
      <c r="B97" s="17"/>
      <c r="C97" s="22"/>
      <c r="D97" s="23"/>
      <c r="E97" s="24"/>
      <c r="F97" s="18">
        <v>-651</v>
      </c>
      <c r="G97" s="324" t="s">
        <v>115</v>
      </c>
      <c r="I97" s="124">
        <f>SUM(E98/I96)</f>
        <v>9.7300165055411461E-2</v>
      </c>
      <c r="J97" s="18"/>
      <c r="K97" s="18"/>
      <c r="L97" s="18"/>
    </row>
    <row r="98" spans="1:12" ht="23.4" customHeight="1" x14ac:dyDescent="0.45">
      <c r="A98" s="19" t="s">
        <v>171</v>
      </c>
      <c r="B98" s="17"/>
      <c r="C98" s="22">
        <v>1</v>
      </c>
      <c r="D98" s="23" t="s">
        <v>31</v>
      </c>
      <c r="E98" s="24">
        <f>SUM(F83:F84)*0.15</f>
        <v>41265</v>
      </c>
      <c r="F98" s="18">
        <f t="shared" ref="F98" si="15">SUM(C98*E98)</f>
        <v>41265</v>
      </c>
      <c r="G98" s="324"/>
      <c r="I98" s="17"/>
      <c r="J98" s="18"/>
      <c r="K98" s="18"/>
      <c r="L98" s="18"/>
    </row>
    <row r="99" spans="1:12" ht="23.4" customHeight="1" thickBot="1" x14ac:dyDescent="0.5">
      <c r="A99" s="29" t="s">
        <v>192</v>
      </c>
      <c r="B99" s="17"/>
      <c r="C99" s="22"/>
      <c r="D99" s="23"/>
      <c r="E99" s="24"/>
      <c r="F99" s="37">
        <f>SUM(F81:F98)</f>
        <v>510000.4</v>
      </c>
      <c r="G99" s="17"/>
      <c r="I99" s="17"/>
      <c r="J99" s="18"/>
      <c r="K99" s="18"/>
      <c r="L99" s="37">
        <f>SUM(L82:L96)</f>
        <v>0</v>
      </c>
    </row>
    <row r="100" spans="1:12" ht="23.4" thickTop="1" thickBot="1" x14ac:dyDescent="0.5">
      <c r="A100" s="258" t="s">
        <v>193</v>
      </c>
      <c r="B100" s="258"/>
      <c r="C100" s="258"/>
      <c r="D100" s="258"/>
      <c r="E100" s="258"/>
      <c r="F100" s="258"/>
      <c r="G100" s="258"/>
      <c r="I100" s="259" t="s">
        <v>37</v>
      </c>
      <c r="J100" s="260"/>
      <c r="K100" s="259"/>
      <c r="L100" s="260"/>
    </row>
    <row r="101" spans="1:12" ht="23.1" customHeight="1" thickTop="1" x14ac:dyDescent="0.45">
      <c r="A101" s="127" t="s">
        <v>38</v>
      </c>
      <c r="B101" s="127" t="s">
        <v>39</v>
      </c>
      <c r="C101" s="127" t="s">
        <v>40</v>
      </c>
      <c r="D101" s="128" t="s">
        <v>41</v>
      </c>
      <c r="E101" s="128" t="s">
        <v>42</v>
      </c>
      <c r="F101" s="128" t="s">
        <v>43</v>
      </c>
      <c r="G101" s="127" t="s">
        <v>44</v>
      </c>
      <c r="I101" s="14" t="s">
        <v>40</v>
      </c>
      <c r="J101" s="15" t="s">
        <v>41</v>
      </c>
      <c r="K101" s="15" t="s">
        <v>42</v>
      </c>
      <c r="L101" s="15" t="s">
        <v>43</v>
      </c>
    </row>
    <row r="102" spans="1:12" ht="23.25" customHeight="1" x14ac:dyDescent="0.45">
      <c r="A102" s="16" t="s">
        <v>194</v>
      </c>
      <c r="B102" s="119" t="s">
        <v>179</v>
      </c>
      <c r="C102" s="19"/>
      <c r="D102" s="23"/>
      <c r="E102" s="18"/>
      <c r="F102" s="18"/>
      <c r="G102" s="17" t="s">
        <v>149</v>
      </c>
      <c r="I102" s="19"/>
      <c r="J102" s="18"/>
      <c r="K102" s="18"/>
      <c r="L102" s="18"/>
    </row>
    <row r="103" spans="1:12" ht="23.4" customHeight="1" x14ac:dyDescent="0.45">
      <c r="A103" s="19" t="s">
        <v>150</v>
      </c>
      <c r="B103" s="17" t="s">
        <v>151</v>
      </c>
      <c r="C103" s="22">
        <v>5</v>
      </c>
      <c r="D103" s="23" t="s">
        <v>152</v>
      </c>
      <c r="E103" s="24">
        <f>26700*1.35</f>
        <v>36045</v>
      </c>
      <c r="F103" s="18">
        <f>SUM(C103*E103)</f>
        <v>180225</v>
      </c>
      <c r="G103" s="17" t="s">
        <v>153</v>
      </c>
      <c r="I103" s="19"/>
      <c r="J103" s="23"/>
      <c r="K103" s="24"/>
      <c r="L103" s="18">
        <f>SUM(I103*K103)</f>
        <v>0</v>
      </c>
    </row>
    <row r="104" spans="1:12" ht="23.4" customHeight="1" x14ac:dyDescent="0.45">
      <c r="A104" s="19" t="s">
        <v>154</v>
      </c>
      <c r="B104" s="21" t="s">
        <v>155</v>
      </c>
      <c r="C104" s="22">
        <v>6</v>
      </c>
      <c r="D104" s="23" t="s">
        <v>152</v>
      </c>
      <c r="E104" s="24">
        <f>23600*1.35</f>
        <v>31860.000000000004</v>
      </c>
      <c r="F104" s="18">
        <f t="shared" ref="F104:F109" si="16">SUM(C104*E104)</f>
        <v>191160.00000000003</v>
      </c>
      <c r="G104" s="17"/>
      <c r="I104" s="19"/>
      <c r="J104" s="23"/>
      <c r="K104" s="24"/>
      <c r="L104" s="18"/>
    </row>
    <row r="105" spans="1:12" ht="23.4" customHeight="1" x14ac:dyDescent="0.45">
      <c r="A105" s="19" t="s">
        <v>156</v>
      </c>
      <c r="B105" s="21" t="s">
        <v>195</v>
      </c>
      <c r="C105" s="22">
        <v>1</v>
      </c>
      <c r="D105" s="23" t="s">
        <v>133</v>
      </c>
      <c r="E105" s="24">
        <v>28000</v>
      </c>
      <c r="F105" s="18">
        <f t="shared" si="16"/>
        <v>28000</v>
      </c>
      <c r="G105" s="17"/>
      <c r="I105" s="19"/>
      <c r="J105" s="23"/>
      <c r="K105" s="24"/>
      <c r="L105" s="18">
        <f>SUM(I105*K105)</f>
        <v>0</v>
      </c>
    </row>
    <row r="106" spans="1:12" ht="23.4" customHeight="1" x14ac:dyDescent="0.45">
      <c r="A106" s="19" t="s">
        <v>158</v>
      </c>
      <c r="B106" s="21" t="s">
        <v>159</v>
      </c>
      <c r="C106" s="22">
        <v>1</v>
      </c>
      <c r="D106" s="23" t="s">
        <v>133</v>
      </c>
      <c r="E106" s="24">
        <v>20000</v>
      </c>
      <c r="F106" s="18">
        <f t="shared" si="16"/>
        <v>20000</v>
      </c>
      <c r="G106" s="17"/>
      <c r="I106" s="19"/>
      <c r="J106" s="23"/>
      <c r="K106" s="24"/>
      <c r="L106" s="18"/>
    </row>
    <row r="107" spans="1:12" ht="23.4" customHeight="1" x14ac:dyDescent="0.45">
      <c r="A107" s="19" t="s">
        <v>160</v>
      </c>
      <c r="B107" s="17" t="s">
        <v>161</v>
      </c>
      <c r="C107" s="22">
        <v>1</v>
      </c>
      <c r="D107" s="23" t="s">
        <v>133</v>
      </c>
      <c r="E107" s="24">
        <v>22000</v>
      </c>
      <c r="F107" s="18">
        <f t="shared" si="16"/>
        <v>22000</v>
      </c>
      <c r="G107" s="17"/>
      <c r="I107" s="118"/>
      <c r="J107" s="43"/>
      <c r="K107" s="24"/>
      <c r="L107" s="18">
        <f>SUM(I107*K107)</f>
        <v>0</v>
      </c>
    </row>
    <row r="108" spans="1:12" ht="23.4" customHeight="1" x14ac:dyDescent="0.45">
      <c r="A108" s="19" t="s">
        <v>162</v>
      </c>
      <c r="B108" s="119" t="s">
        <v>196</v>
      </c>
      <c r="C108" s="22">
        <v>1</v>
      </c>
      <c r="D108" s="23" t="s">
        <v>133</v>
      </c>
      <c r="E108" s="24">
        <v>110000</v>
      </c>
      <c r="F108" s="18">
        <f t="shared" si="16"/>
        <v>110000</v>
      </c>
      <c r="G108" s="17"/>
      <c r="I108" s="19"/>
      <c r="J108" s="23"/>
      <c r="K108" s="24"/>
      <c r="L108" s="26"/>
    </row>
    <row r="109" spans="1:12" ht="23.4" customHeight="1" x14ac:dyDescent="0.45">
      <c r="A109" s="19" t="s">
        <v>165</v>
      </c>
      <c r="B109" s="17" t="s">
        <v>166</v>
      </c>
      <c r="C109" s="22">
        <v>1</v>
      </c>
      <c r="D109" s="23" t="s">
        <v>133</v>
      </c>
      <c r="E109" s="24">
        <v>17000</v>
      </c>
      <c r="F109" s="18">
        <f t="shared" si="16"/>
        <v>17000</v>
      </c>
      <c r="G109" s="17"/>
      <c r="I109" s="118"/>
      <c r="J109" s="43"/>
      <c r="K109" s="24"/>
      <c r="L109" s="18">
        <f>SUM(I109*K109)</f>
        <v>0</v>
      </c>
    </row>
    <row r="110" spans="1:12" ht="23.4" customHeight="1" x14ac:dyDescent="0.45">
      <c r="A110" s="19" t="s">
        <v>167</v>
      </c>
      <c r="B110" s="17" t="s">
        <v>168</v>
      </c>
      <c r="C110" s="22">
        <v>1</v>
      </c>
      <c r="D110" s="23" t="s">
        <v>169</v>
      </c>
      <c r="E110" s="24">
        <v>4300</v>
      </c>
      <c r="F110" s="18"/>
      <c r="G110" s="17" t="s">
        <v>170</v>
      </c>
      <c r="I110" s="19"/>
      <c r="J110" s="23"/>
      <c r="K110" s="24"/>
      <c r="L110" s="26"/>
    </row>
    <row r="111" spans="1:12" ht="23.4" customHeight="1" x14ac:dyDescent="0.45">
      <c r="A111" s="325" t="s">
        <v>175</v>
      </c>
      <c r="B111" s="325"/>
      <c r="C111" s="325"/>
      <c r="D111" s="325"/>
      <c r="E111" s="325"/>
      <c r="F111" s="325"/>
      <c r="G111" s="325"/>
      <c r="I111" s="19"/>
      <c r="J111" s="23"/>
      <c r="K111" s="24"/>
      <c r="L111" s="18">
        <f>SUM(I111*K111)</f>
        <v>0</v>
      </c>
    </row>
    <row r="112" spans="1:12" ht="23.4" customHeight="1" x14ac:dyDescent="0.45">
      <c r="A112" s="29"/>
      <c r="B112" s="17"/>
      <c r="C112" s="22"/>
      <c r="D112" s="23"/>
      <c r="E112" s="24"/>
      <c r="F112" s="37"/>
      <c r="G112" s="17"/>
      <c r="I112" s="19"/>
      <c r="J112" s="23"/>
      <c r="K112" s="24"/>
      <c r="L112" s="18"/>
    </row>
    <row r="113" spans="1:12" ht="23.4" customHeight="1" x14ac:dyDescent="0.45">
      <c r="A113" s="19"/>
      <c r="B113" s="21"/>
      <c r="C113" s="22"/>
      <c r="D113" s="23"/>
      <c r="E113" s="24"/>
      <c r="F113" s="120"/>
      <c r="G113" s="17"/>
      <c r="I113" s="32"/>
      <c r="J113" s="33"/>
      <c r="K113" s="34"/>
      <c r="L113" s="34"/>
    </row>
    <row r="114" spans="1:12" ht="23.4" customHeight="1" x14ac:dyDescent="0.45">
      <c r="A114" s="29"/>
      <c r="B114" s="17"/>
      <c r="C114" s="22"/>
      <c r="D114" s="23"/>
      <c r="E114" s="125"/>
      <c r="F114" s="18"/>
      <c r="G114" s="17"/>
      <c r="I114" s="19"/>
      <c r="J114" s="23"/>
      <c r="K114" s="18"/>
      <c r="L114" s="18"/>
    </row>
    <row r="115" spans="1:12" ht="23.4" customHeight="1" x14ac:dyDescent="0.45">
      <c r="A115" s="121" t="s">
        <v>46</v>
      </c>
      <c r="B115" s="17"/>
      <c r="C115" s="22">
        <v>1</v>
      </c>
      <c r="D115" s="23" t="s">
        <v>31</v>
      </c>
      <c r="E115" s="24">
        <f>SUM(F103:F110)*0.004</f>
        <v>2273.54</v>
      </c>
      <c r="F115" s="18">
        <f t="shared" ref="F115:F116" si="17">SUM(C115*E115)</f>
        <v>2273.54</v>
      </c>
      <c r="G115" s="17"/>
      <c r="I115" s="19"/>
      <c r="J115" s="23"/>
      <c r="K115" s="18"/>
      <c r="L115" s="18"/>
    </row>
    <row r="116" spans="1:12" ht="23.4" customHeight="1" x14ac:dyDescent="0.45">
      <c r="A116" s="121" t="s">
        <v>49</v>
      </c>
      <c r="B116" s="17"/>
      <c r="C116" s="22">
        <v>1</v>
      </c>
      <c r="D116" s="23" t="s">
        <v>31</v>
      </c>
      <c r="E116" s="24">
        <f>SUM(F104:F111)*0.15</f>
        <v>58224</v>
      </c>
      <c r="F116" s="18">
        <f t="shared" si="17"/>
        <v>58224</v>
      </c>
      <c r="G116" s="17"/>
      <c r="I116" s="123">
        <f>SUM(F103:F113)</f>
        <v>568385</v>
      </c>
      <c r="J116" s="23"/>
      <c r="K116" s="18"/>
      <c r="L116" s="18"/>
    </row>
    <row r="117" spans="1:12" ht="23.4" customHeight="1" x14ac:dyDescent="0.45">
      <c r="A117" s="19" t="s">
        <v>50</v>
      </c>
      <c r="B117" s="17"/>
      <c r="C117" s="22"/>
      <c r="D117" s="23"/>
      <c r="E117" s="24"/>
      <c r="F117" s="18">
        <v>-590</v>
      </c>
      <c r="G117" s="324" t="s">
        <v>115</v>
      </c>
      <c r="I117" s="124">
        <f>SUM(E118/I116)</f>
        <v>9.8010591412510881E-2</v>
      </c>
      <c r="J117" s="18"/>
      <c r="K117" s="18"/>
      <c r="L117" s="18"/>
    </row>
    <row r="118" spans="1:12" ht="23.4" customHeight="1" x14ac:dyDescent="0.45">
      <c r="A118" s="19" t="s">
        <v>171</v>
      </c>
      <c r="B118" s="17"/>
      <c r="C118" s="22">
        <v>1</v>
      </c>
      <c r="D118" s="23" t="s">
        <v>31</v>
      </c>
      <c r="E118" s="24">
        <f>SUM(F103:F104)*0.15</f>
        <v>55707.75</v>
      </c>
      <c r="F118" s="18">
        <f t="shared" ref="F118" si="18">SUM(C118*E118)</f>
        <v>55707.75</v>
      </c>
      <c r="G118" s="324"/>
      <c r="I118" s="17"/>
      <c r="J118" s="18"/>
      <c r="K118" s="18"/>
      <c r="L118" s="18"/>
    </row>
    <row r="119" spans="1:12" ht="23.4" customHeight="1" thickBot="1" x14ac:dyDescent="0.5">
      <c r="A119" s="29" t="s">
        <v>197</v>
      </c>
      <c r="B119" s="17"/>
      <c r="C119" s="22"/>
      <c r="D119" s="23"/>
      <c r="E119" s="24"/>
      <c r="F119" s="37">
        <f>SUM(F103:F118)</f>
        <v>684000.29</v>
      </c>
      <c r="G119" s="17"/>
      <c r="I119" s="17"/>
      <c r="J119" s="18"/>
      <c r="K119" s="18"/>
      <c r="L119" s="37">
        <f>SUM(L102:L116)</f>
        <v>0</v>
      </c>
    </row>
    <row r="120" spans="1:12" ht="23.4" thickTop="1" thickBot="1" x14ac:dyDescent="0.5">
      <c r="A120" s="258" t="s">
        <v>198</v>
      </c>
      <c r="B120" s="258"/>
      <c r="C120" s="258"/>
      <c r="D120" s="258"/>
      <c r="E120" s="258"/>
      <c r="F120" s="258"/>
      <c r="G120" s="258"/>
      <c r="I120" s="259" t="s">
        <v>37</v>
      </c>
      <c r="J120" s="260"/>
      <c r="K120" s="259"/>
      <c r="L120" s="260"/>
    </row>
    <row r="121" spans="1:12" ht="23.1" customHeight="1" thickTop="1" x14ac:dyDescent="0.45">
      <c r="A121" s="127" t="s">
        <v>38</v>
      </c>
      <c r="B121" s="127" t="s">
        <v>39</v>
      </c>
      <c r="C121" s="127" t="s">
        <v>40</v>
      </c>
      <c r="D121" s="128" t="s">
        <v>41</v>
      </c>
      <c r="E121" s="128" t="s">
        <v>42</v>
      </c>
      <c r="F121" s="128" t="s">
        <v>43</v>
      </c>
      <c r="G121" s="127" t="s">
        <v>44</v>
      </c>
      <c r="I121" s="14" t="s">
        <v>40</v>
      </c>
      <c r="J121" s="15" t="s">
        <v>41</v>
      </c>
      <c r="K121" s="15" t="s">
        <v>42</v>
      </c>
      <c r="L121" s="15" t="s">
        <v>43</v>
      </c>
    </row>
    <row r="122" spans="1:12" ht="23.25" customHeight="1" x14ac:dyDescent="0.45">
      <c r="A122" s="16" t="s">
        <v>199</v>
      </c>
      <c r="B122" s="119" t="s">
        <v>179</v>
      </c>
      <c r="C122" s="19"/>
      <c r="D122" s="23"/>
      <c r="E122" s="18"/>
      <c r="F122" s="18"/>
      <c r="G122" s="17" t="s">
        <v>149</v>
      </c>
      <c r="I122" s="19"/>
      <c r="J122" s="18"/>
      <c r="K122" s="18"/>
      <c r="L122" s="18"/>
    </row>
    <row r="123" spans="1:12" ht="23.4" customHeight="1" x14ac:dyDescent="0.45">
      <c r="A123" s="19" t="s">
        <v>150</v>
      </c>
      <c r="B123" s="17" t="s">
        <v>200</v>
      </c>
      <c r="C123" s="22">
        <v>3</v>
      </c>
      <c r="D123" s="23" t="s">
        <v>152</v>
      </c>
      <c r="E123" s="24">
        <f>26700*1.35</f>
        <v>36045</v>
      </c>
      <c r="F123" s="18">
        <f>SUM(C123*E123)</f>
        <v>108135</v>
      </c>
      <c r="G123" s="17" t="s">
        <v>153</v>
      </c>
      <c r="I123" s="19"/>
      <c r="J123" s="23"/>
      <c r="K123" s="24"/>
      <c r="L123" s="18">
        <f>SUM(I123*K123)</f>
        <v>0</v>
      </c>
    </row>
    <row r="124" spans="1:12" ht="23.4" customHeight="1" x14ac:dyDescent="0.45">
      <c r="A124" s="19" t="s">
        <v>154</v>
      </c>
      <c r="B124" s="21" t="s">
        <v>201</v>
      </c>
      <c r="C124" s="22">
        <v>3</v>
      </c>
      <c r="D124" s="23" t="s">
        <v>152</v>
      </c>
      <c r="E124" s="24">
        <f>23600*1.35</f>
        <v>31860.000000000004</v>
      </c>
      <c r="F124" s="18">
        <f t="shared" ref="F124:F129" si="19">SUM(C124*E124)</f>
        <v>95580.000000000015</v>
      </c>
      <c r="G124" s="17"/>
      <c r="I124" s="19"/>
      <c r="J124" s="23"/>
      <c r="K124" s="24"/>
      <c r="L124" s="18"/>
    </row>
    <row r="125" spans="1:12" ht="23.4" customHeight="1" x14ac:dyDescent="0.45">
      <c r="A125" s="19" t="s">
        <v>156</v>
      </c>
      <c r="B125" s="21" t="s">
        <v>202</v>
      </c>
      <c r="C125" s="22">
        <v>1</v>
      </c>
      <c r="D125" s="23" t="s">
        <v>133</v>
      </c>
      <c r="E125" s="24">
        <v>28000</v>
      </c>
      <c r="F125" s="18">
        <f t="shared" si="19"/>
        <v>28000</v>
      </c>
      <c r="G125" s="17"/>
      <c r="I125" s="19"/>
      <c r="J125" s="23"/>
      <c r="K125" s="24"/>
      <c r="L125" s="18">
        <f>SUM(I125*K125)</f>
        <v>0</v>
      </c>
    </row>
    <row r="126" spans="1:12" ht="23.4" customHeight="1" x14ac:dyDescent="0.45">
      <c r="A126" s="19" t="s">
        <v>158</v>
      </c>
      <c r="B126" s="21" t="s">
        <v>186</v>
      </c>
      <c r="C126" s="22">
        <v>1</v>
      </c>
      <c r="D126" s="23" t="s">
        <v>133</v>
      </c>
      <c r="E126" s="24">
        <v>17000</v>
      </c>
      <c r="F126" s="18">
        <f t="shared" si="19"/>
        <v>17000</v>
      </c>
      <c r="G126" s="17"/>
      <c r="I126" s="19"/>
      <c r="J126" s="23"/>
      <c r="K126" s="24"/>
      <c r="L126" s="18"/>
    </row>
    <row r="127" spans="1:12" ht="23.4" customHeight="1" x14ac:dyDescent="0.45">
      <c r="A127" s="19" t="s">
        <v>160</v>
      </c>
      <c r="B127" s="17" t="s">
        <v>161</v>
      </c>
      <c r="C127" s="22">
        <v>1</v>
      </c>
      <c r="D127" s="23" t="s">
        <v>133</v>
      </c>
      <c r="E127" s="24">
        <v>16500</v>
      </c>
      <c r="F127" s="18">
        <f t="shared" si="19"/>
        <v>16500</v>
      </c>
      <c r="G127" s="17"/>
      <c r="I127" s="118"/>
      <c r="J127" s="43"/>
      <c r="K127" s="24"/>
      <c r="L127" s="18">
        <f>SUM(I127*K127)</f>
        <v>0</v>
      </c>
    </row>
    <row r="128" spans="1:12" ht="23.4" customHeight="1" x14ac:dyDescent="0.45">
      <c r="A128" s="19" t="s">
        <v>162</v>
      </c>
      <c r="B128" s="119" t="s">
        <v>203</v>
      </c>
      <c r="C128" s="22">
        <v>1</v>
      </c>
      <c r="D128" s="23" t="s">
        <v>133</v>
      </c>
      <c r="E128" s="24">
        <v>69000</v>
      </c>
      <c r="F128" s="18">
        <f t="shared" si="19"/>
        <v>69000</v>
      </c>
      <c r="G128" s="17" t="s">
        <v>191</v>
      </c>
      <c r="I128" s="19"/>
      <c r="J128" s="23"/>
      <c r="K128" s="24"/>
      <c r="L128" s="26"/>
    </row>
    <row r="129" spans="1:12" ht="23.4" customHeight="1" x14ac:dyDescent="0.45">
      <c r="A129" s="19" t="s">
        <v>165</v>
      </c>
      <c r="B129" s="17" t="s">
        <v>166</v>
      </c>
      <c r="C129" s="22">
        <v>1</v>
      </c>
      <c r="D129" s="23" t="s">
        <v>133</v>
      </c>
      <c r="E129" s="24">
        <v>12000</v>
      </c>
      <c r="F129" s="18">
        <f t="shared" si="19"/>
        <v>12000</v>
      </c>
      <c r="G129" s="17"/>
      <c r="I129" s="118"/>
      <c r="J129" s="43"/>
      <c r="K129" s="24"/>
      <c r="L129" s="18">
        <f>SUM(I129*K129)</f>
        <v>0</v>
      </c>
    </row>
    <row r="130" spans="1:12" ht="23.4" customHeight="1" x14ac:dyDescent="0.45">
      <c r="A130" s="19" t="s">
        <v>167</v>
      </c>
      <c r="B130" s="17" t="s">
        <v>168</v>
      </c>
      <c r="C130" s="22">
        <v>1</v>
      </c>
      <c r="D130" s="23" t="s">
        <v>169</v>
      </c>
      <c r="E130" s="24">
        <v>4300</v>
      </c>
      <c r="F130" s="18"/>
      <c r="G130" s="17" t="s">
        <v>170</v>
      </c>
      <c r="I130" s="19"/>
      <c r="J130" s="23"/>
      <c r="K130" s="24"/>
      <c r="L130" s="26"/>
    </row>
    <row r="131" spans="1:12" ht="23.4" customHeight="1" x14ac:dyDescent="0.45">
      <c r="A131" s="325" t="s">
        <v>175</v>
      </c>
      <c r="B131" s="325"/>
      <c r="C131" s="325"/>
      <c r="D131" s="325"/>
      <c r="E131" s="325"/>
      <c r="F131" s="325"/>
      <c r="G131" s="325"/>
      <c r="I131" s="19"/>
      <c r="J131" s="23"/>
      <c r="K131" s="24"/>
      <c r="L131" s="18"/>
    </row>
    <row r="132" spans="1:12" ht="23.4" customHeight="1" x14ac:dyDescent="0.45">
      <c r="A132" s="19"/>
      <c r="B132" s="17"/>
      <c r="C132" s="22"/>
      <c r="D132" s="23"/>
      <c r="E132" s="24"/>
      <c r="F132" s="18"/>
      <c r="G132" s="17"/>
      <c r="I132" s="19"/>
      <c r="J132" s="23"/>
      <c r="K132" s="24"/>
      <c r="L132" s="18"/>
    </row>
    <row r="133" spans="1:12" ht="23.4" customHeight="1" x14ac:dyDescent="0.45">
      <c r="A133" s="29"/>
      <c r="B133" s="17"/>
      <c r="C133" s="22"/>
      <c r="D133" s="23"/>
      <c r="E133" s="24"/>
      <c r="F133" s="37"/>
      <c r="G133" s="17"/>
      <c r="I133" s="19"/>
      <c r="J133" s="23"/>
      <c r="K133" s="24"/>
      <c r="L133" s="18"/>
    </row>
    <row r="134" spans="1:12" ht="23.4" customHeight="1" x14ac:dyDescent="0.45">
      <c r="A134" s="19"/>
      <c r="B134" s="21"/>
      <c r="C134" s="22"/>
      <c r="D134" s="23"/>
      <c r="E134" s="24"/>
      <c r="F134" s="120"/>
      <c r="G134" s="17"/>
      <c r="I134" s="32"/>
      <c r="J134" s="33"/>
      <c r="K134" s="34"/>
      <c r="L134" s="34"/>
    </row>
    <row r="135" spans="1:12" ht="23.4" customHeight="1" x14ac:dyDescent="0.45">
      <c r="A135" s="29"/>
      <c r="B135" s="17"/>
      <c r="C135" s="22"/>
      <c r="D135" s="23"/>
      <c r="E135" s="125"/>
      <c r="F135" s="18"/>
      <c r="G135" s="17"/>
      <c r="I135" s="19"/>
      <c r="J135" s="23"/>
      <c r="K135" s="18"/>
      <c r="L135" s="18"/>
    </row>
    <row r="136" spans="1:12" ht="23.4" customHeight="1" x14ac:dyDescent="0.45">
      <c r="A136" s="121" t="s">
        <v>46</v>
      </c>
      <c r="B136" s="17"/>
      <c r="C136" s="22">
        <v>1</v>
      </c>
      <c r="D136" s="23" t="s">
        <v>31</v>
      </c>
      <c r="E136" s="24">
        <f>SUM(F123:F130)*0.004</f>
        <v>1384.8600000000001</v>
      </c>
      <c r="F136" s="18">
        <f t="shared" ref="F136:F137" si="20">SUM(C136*E136)</f>
        <v>1384.8600000000001</v>
      </c>
      <c r="G136" s="17"/>
      <c r="I136" s="19"/>
      <c r="J136" s="23"/>
      <c r="K136" s="18"/>
      <c r="L136" s="18"/>
    </row>
    <row r="137" spans="1:12" ht="23.4" customHeight="1" x14ac:dyDescent="0.45">
      <c r="A137" s="121" t="s">
        <v>49</v>
      </c>
      <c r="B137" s="17"/>
      <c r="C137" s="22">
        <v>1</v>
      </c>
      <c r="D137" s="23" t="s">
        <v>31</v>
      </c>
      <c r="E137" s="24">
        <f>SUM(F125:F132)*0.15</f>
        <v>21375</v>
      </c>
      <c r="F137" s="18">
        <f t="shared" si="20"/>
        <v>21375</v>
      </c>
      <c r="G137" s="17"/>
      <c r="I137" s="123">
        <f>SUM(F123:F134)</f>
        <v>346215</v>
      </c>
      <c r="J137" s="23"/>
      <c r="K137" s="18"/>
      <c r="L137" s="18"/>
    </row>
    <row r="138" spans="1:12" ht="23.4" customHeight="1" x14ac:dyDescent="0.45">
      <c r="A138" s="19" t="s">
        <v>50</v>
      </c>
      <c r="B138" s="17"/>
      <c r="C138" s="22"/>
      <c r="D138" s="23"/>
      <c r="E138" s="24"/>
      <c r="F138" s="18">
        <v>-532</v>
      </c>
      <c r="G138" s="324" t="s">
        <v>115</v>
      </c>
      <c r="I138" s="124">
        <f>SUM(E139/I137)</f>
        <v>8.8260907239720979E-2</v>
      </c>
      <c r="J138" s="18"/>
      <c r="K138" s="18"/>
      <c r="L138" s="18"/>
    </row>
    <row r="139" spans="1:12" ht="23.4" customHeight="1" x14ac:dyDescent="0.45">
      <c r="A139" s="19" t="s">
        <v>171</v>
      </c>
      <c r="B139" s="17"/>
      <c r="C139" s="22">
        <v>1</v>
      </c>
      <c r="D139" s="23" t="s">
        <v>31</v>
      </c>
      <c r="E139" s="24">
        <f>SUM(F123:F124)*0.15</f>
        <v>30557.25</v>
      </c>
      <c r="F139" s="18">
        <f t="shared" ref="F139" si="21">SUM(C139*E139)</f>
        <v>30557.25</v>
      </c>
      <c r="G139" s="324"/>
      <c r="I139" s="17"/>
      <c r="J139" s="18"/>
      <c r="K139" s="18"/>
      <c r="L139" s="18"/>
    </row>
    <row r="140" spans="1:12" ht="23.4" customHeight="1" thickBot="1" x14ac:dyDescent="0.5">
      <c r="A140" s="29" t="s">
        <v>204</v>
      </c>
      <c r="B140" s="17"/>
      <c r="C140" s="22"/>
      <c r="D140" s="23"/>
      <c r="E140" s="24"/>
      <c r="F140" s="37">
        <f>SUM(F123:F139)</f>
        <v>399000.11</v>
      </c>
      <c r="G140" s="17"/>
      <c r="I140" s="17"/>
      <c r="J140" s="18"/>
      <c r="K140" s="18"/>
      <c r="L140" s="37">
        <f>SUM(L122:L137)</f>
        <v>0</v>
      </c>
    </row>
    <row r="141" spans="1:12" ht="23.4" thickTop="1" thickBot="1" x14ac:dyDescent="0.5">
      <c r="A141" s="258" t="s">
        <v>205</v>
      </c>
      <c r="B141" s="258"/>
      <c r="C141" s="258"/>
      <c r="D141" s="258"/>
      <c r="E141" s="258"/>
      <c r="F141" s="258"/>
      <c r="G141" s="258"/>
      <c r="I141" s="259" t="s">
        <v>37</v>
      </c>
      <c r="J141" s="260"/>
      <c r="K141" s="259"/>
      <c r="L141" s="260"/>
    </row>
    <row r="142" spans="1:12" ht="23.1" customHeight="1" thickTop="1" x14ac:dyDescent="0.45">
      <c r="A142" s="127" t="s">
        <v>38</v>
      </c>
      <c r="B142" s="127" t="s">
        <v>39</v>
      </c>
      <c r="C142" s="127" t="s">
        <v>40</v>
      </c>
      <c r="D142" s="128" t="s">
        <v>41</v>
      </c>
      <c r="E142" s="128" t="s">
        <v>42</v>
      </c>
      <c r="F142" s="128" t="s">
        <v>43</v>
      </c>
      <c r="G142" s="127" t="s">
        <v>44</v>
      </c>
      <c r="I142" s="14" t="s">
        <v>40</v>
      </c>
      <c r="J142" s="15" t="s">
        <v>41</v>
      </c>
      <c r="K142" s="15" t="s">
        <v>42</v>
      </c>
      <c r="L142" s="15" t="s">
        <v>43</v>
      </c>
    </row>
    <row r="143" spans="1:12" ht="23.25" customHeight="1" x14ac:dyDescent="0.45">
      <c r="A143" s="16" t="s">
        <v>206</v>
      </c>
      <c r="B143" s="119" t="s">
        <v>207</v>
      </c>
      <c r="C143" s="19"/>
      <c r="D143" s="23"/>
      <c r="E143" s="18"/>
      <c r="F143" s="18"/>
      <c r="G143" s="17" t="s">
        <v>149</v>
      </c>
      <c r="I143" s="19"/>
      <c r="J143" s="18"/>
      <c r="K143" s="18"/>
      <c r="L143" s="18"/>
    </row>
    <row r="144" spans="1:12" ht="23.4" customHeight="1" x14ac:dyDescent="0.45">
      <c r="A144" s="19" t="s">
        <v>150</v>
      </c>
      <c r="B144" s="17" t="s">
        <v>208</v>
      </c>
      <c r="C144" s="22">
        <v>3</v>
      </c>
      <c r="D144" s="23" t="s">
        <v>152</v>
      </c>
      <c r="E144" s="24">
        <f>26700*1.35</f>
        <v>36045</v>
      </c>
      <c r="F144" s="18">
        <f>SUM(C144*E144)</f>
        <v>108135</v>
      </c>
      <c r="G144" s="17" t="s">
        <v>153</v>
      </c>
      <c r="I144" s="19"/>
      <c r="J144" s="23"/>
      <c r="K144" s="24"/>
      <c r="L144" s="18">
        <f>SUM(I144*K144)</f>
        <v>0</v>
      </c>
    </row>
    <row r="145" spans="1:12" ht="23.4" customHeight="1" x14ac:dyDescent="0.45">
      <c r="A145" s="19" t="s">
        <v>154</v>
      </c>
      <c r="B145" s="21" t="s">
        <v>201</v>
      </c>
      <c r="C145" s="22">
        <v>3</v>
      </c>
      <c r="D145" s="23" t="s">
        <v>152</v>
      </c>
      <c r="E145" s="24">
        <f>23600*1.35</f>
        <v>31860.000000000004</v>
      </c>
      <c r="F145" s="18">
        <f t="shared" ref="F145:F150" si="22">SUM(C145*E145)</f>
        <v>95580.000000000015</v>
      </c>
      <c r="G145" s="17"/>
      <c r="I145" s="19"/>
      <c r="J145" s="23"/>
      <c r="K145" s="24"/>
      <c r="L145" s="18"/>
    </row>
    <row r="146" spans="1:12" ht="23.4" customHeight="1" x14ac:dyDescent="0.45">
      <c r="A146" s="19" t="s">
        <v>156</v>
      </c>
      <c r="B146" s="21" t="s">
        <v>195</v>
      </c>
      <c r="C146" s="22">
        <v>1</v>
      </c>
      <c r="D146" s="23" t="s">
        <v>133</v>
      </c>
      <c r="E146" s="24">
        <v>28000</v>
      </c>
      <c r="F146" s="18">
        <f t="shared" si="22"/>
        <v>28000</v>
      </c>
      <c r="G146" s="17"/>
      <c r="I146" s="19"/>
      <c r="J146" s="23"/>
      <c r="K146" s="24"/>
      <c r="L146" s="18">
        <f>SUM(I146*K146)</f>
        <v>0</v>
      </c>
    </row>
    <row r="147" spans="1:12" ht="23.4" customHeight="1" x14ac:dyDescent="0.45">
      <c r="A147" s="19" t="s">
        <v>158</v>
      </c>
      <c r="B147" s="21" t="s">
        <v>186</v>
      </c>
      <c r="C147" s="22">
        <v>1</v>
      </c>
      <c r="D147" s="23" t="s">
        <v>133</v>
      </c>
      <c r="E147" s="24">
        <v>17000</v>
      </c>
      <c r="F147" s="18">
        <f t="shared" si="22"/>
        <v>17000</v>
      </c>
      <c r="G147" s="17"/>
      <c r="I147" s="19"/>
      <c r="J147" s="23"/>
      <c r="K147" s="24"/>
      <c r="L147" s="18"/>
    </row>
    <row r="148" spans="1:12" ht="23.4" customHeight="1" x14ac:dyDescent="0.45">
      <c r="A148" s="19" t="s">
        <v>160</v>
      </c>
      <c r="B148" s="17" t="s">
        <v>161</v>
      </c>
      <c r="C148" s="22">
        <v>1</v>
      </c>
      <c r="D148" s="23" t="s">
        <v>133</v>
      </c>
      <c r="E148" s="24">
        <v>16500</v>
      </c>
      <c r="F148" s="18">
        <f t="shared" si="22"/>
        <v>16500</v>
      </c>
      <c r="G148" s="17"/>
      <c r="I148" s="118"/>
      <c r="J148" s="43"/>
      <c r="K148" s="24"/>
      <c r="L148" s="18">
        <f>SUM(I148*K148)</f>
        <v>0</v>
      </c>
    </row>
    <row r="149" spans="1:12" ht="23.4" customHeight="1" x14ac:dyDescent="0.45">
      <c r="A149" s="19" t="s">
        <v>162</v>
      </c>
      <c r="B149" s="119" t="s">
        <v>187</v>
      </c>
      <c r="C149" s="22">
        <v>1</v>
      </c>
      <c r="D149" s="23" t="s">
        <v>133</v>
      </c>
      <c r="E149" s="24">
        <v>21000</v>
      </c>
      <c r="F149" s="18">
        <f t="shared" si="22"/>
        <v>21000</v>
      </c>
      <c r="G149" s="17" t="s">
        <v>191</v>
      </c>
      <c r="I149" s="19"/>
      <c r="J149" s="23"/>
      <c r="K149" s="24"/>
      <c r="L149" s="26"/>
    </row>
    <row r="150" spans="1:12" ht="23.4" customHeight="1" x14ac:dyDescent="0.45">
      <c r="A150" s="19" t="s">
        <v>165</v>
      </c>
      <c r="B150" s="17" t="s">
        <v>166</v>
      </c>
      <c r="C150" s="22">
        <v>1</v>
      </c>
      <c r="D150" s="23" t="s">
        <v>133</v>
      </c>
      <c r="E150" s="24">
        <v>10000</v>
      </c>
      <c r="F150" s="18">
        <f t="shared" si="22"/>
        <v>10000</v>
      </c>
      <c r="G150" s="17"/>
      <c r="I150" s="118"/>
      <c r="J150" s="43"/>
      <c r="K150" s="24"/>
      <c r="L150" s="18">
        <f>SUM(I150*K150)</f>
        <v>0</v>
      </c>
    </row>
    <row r="151" spans="1:12" ht="23.4" customHeight="1" x14ac:dyDescent="0.45">
      <c r="A151" s="19" t="s">
        <v>167</v>
      </c>
      <c r="B151" s="17" t="s">
        <v>168</v>
      </c>
      <c r="C151" s="22">
        <v>1</v>
      </c>
      <c r="D151" s="23" t="s">
        <v>169</v>
      </c>
      <c r="E151" s="24">
        <v>4300</v>
      </c>
      <c r="F151" s="18"/>
      <c r="G151" s="17" t="s">
        <v>170</v>
      </c>
      <c r="I151" s="19"/>
      <c r="J151" s="23"/>
      <c r="K151" s="24"/>
      <c r="L151" s="26"/>
    </row>
    <row r="152" spans="1:12" ht="23.4" customHeight="1" x14ac:dyDescent="0.45">
      <c r="A152" s="325" t="s">
        <v>175</v>
      </c>
      <c r="B152" s="325"/>
      <c r="C152" s="325"/>
      <c r="D152" s="325"/>
      <c r="E152" s="325"/>
      <c r="F152" s="325"/>
      <c r="G152" s="325"/>
      <c r="I152" s="19"/>
      <c r="J152" s="23"/>
      <c r="K152" s="24"/>
      <c r="L152" s="18">
        <f>SUM(I152*K152)</f>
        <v>0</v>
      </c>
    </row>
    <row r="153" spans="1:12" ht="23.4" customHeight="1" x14ac:dyDescent="0.45">
      <c r="A153" s="121"/>
      <c r="B153" s="17"/>
      <c r="C153" s="22"/>
      <c r="D153" s="23"/>
      <c r="E153" s="24"/>
      <c r="F153" s="18"/>
      <c r="G153" s="17"/>
      <c r="I153" s="19"/>
      <c r="J153" s="23"/>
      <c r="K153" s="24"/>
      <c r="L153" s="18"/>
    </row>
    <row r="154" spans="1:12" ht="23.4" customHeight="1" x14ac:dyDescent="0.45">
      <c r="A154" s="29"/>
      <c r="B154" s="17"/>
      <c r="C154" s="22"/>
      <c r="D154" s="23"/>
      <c r="E154" s="125"/>
      <c r="F154" s="18"/>
      <c r="G154" s="17"/>
      <c r="I154" s="19"/>
      <c r="J154" s="23"/>
      <c r="K154" s="18"/>
      <c r="L154" s="18"/>
    </row>
    <row r="155" spans="1:12" ht="23.4" customHeight="1" x14ac:dyDescent="0.45">
      <c r="A155" s="121" t="s">
        <v>46</v>
      </c>
      <c r="B155" s="17"/>
      <c r="C155" s="22">
        <v>1</v>
      </c>
      <c r="D155" s="23" t="s">
        <v>31</v>
      </c>
      <c r="E155" s="24">
        <f>SUM(F144:F151)*0.004</f>
        <v>1184.8600000000001</v>
      </c>
      <c r="F155" s="18">
        <f t="shared" ref="F155:F156" si="23">SUM(C155*E155)</f>
        <v>1184.8600000000001</v>
      </c>
      <c r="G155" s="17"/>
      <c r="I155" s="19"/>
      <c r="J155" s="23"/>
      <c r="K155" s="18"/>
      <c r="L155" s="18"/>
    </row>
    <row r="156" spans="1:12" ht="23.4" customHeight="1" x14ac:dyDescent="0.45">
      <c r="A156" s="121" t="s">
        <v>49</v>
      </c>
      <c r="B156" s="17"/>
      <c r="C156" s="22">
        <v>1</v>
      </c>
      <c r="D156" s="23" t="s">
        <v>31</v>
      </c>
      <c r="E156" s="24">
        <f>SUM(F144:F151)*0.15</f>
        <v>44432.25</v>
      </c>
      <c r="F156" s="18">
        <f t="shared" si="23"/>
        <v>44432.25</v>
      </c>
      <c r="G156" s="17"/>
      <c r="I156" s="123">
        <f>SUM(F144:F153)</f>
        <v>296215</v>
      </c>
      <c r="J156" s="23"/>
      <c r="K156" s="18"/>
      <c r="L156" s="18"/>
    </row>
    <row r="157" spans="1:12" ht="23.4" customHeight="1" x14ac:dyDescent="0.45">
      <c r="A157" s="19" t="s">
        <v>50</v>
      </c>
      <c r="B157" s="17"/>
      <c r="C157" s="22"/>
      <c r="D157" s="23"/>
      <c r="E157" s="24"/>
      <c r="F157" s="18">
        <v>-389</v>
      </c>
      <c r="G157" s="324" t="s">
        <v>115</v>
      </c>
      <c r="I157" s="124">
        <f>SUM(E158/I156)</f>
        <v>0.10315902300693752</v>
      </c>
      <c r="J157" s="18"/>
      <c r="K157" s="18"/>
      <c r="L157" s="18"/>
    </row>
    <row r="158" spans="1:12" ht="23.4" customHeight="1" x14ac:dyDescent="0.45">
      <c r="A158" s="19" t="s">
        <v>171</v>
      </c>
      <c r="B158" s="17"/>
      <c r="C158" s="22">
        <v>1</v>
      </c>
      <c r="D158" s="23" t="s">
        <v>31</v>
      </c>
      <c r="E158" s="24">
        <f>SUM(F144:F145)*0.15</f>
        <v>30557.25</v>
      </c>
      <c r="F158" s="18">
        <f t="shared" ref="F158" si="24">SUM(C158*E158)</f>
        <v>30557.25</v>
      </c>
      <c r="G158" s="324"/>
      <c r="I158" s="17"/>
      <c r="J158" s="18"/>
      <c r="K158" s="18"/>
      <c r="L158" s="18"/>
    </row>
    <row r="159" spans="1:12" ht="23.4" customHeight="1" thickBot="1" x14ac:dyDescent="0.5">
      <c r="A159" s="29" t="s">
        <v>209</v>
      </c>
      <c r="B159" s="17"/>
      <c r="C159" s="22"/>
      <c r="D159" s="23"/>
      <c r="E159" s="24"/>
      <c r="F159" s="37">
        <f>SUM(F142:F158)</f>
        <v>372000.36</v>
      </c>
      <c r="G159" s="17"/>
      <c r="I159" s="17"/>
      <c r="J159" s="18"/>
      <c r="K159" s="18"/>
      <c r="L159" s="37">
        <f>SUM(L143:L156)</f>
        <v>0</v>
      </c>
    </row>
    <row r="160" spans="1:12" ht="23.4" thickTop="1" thickBot="1" x14ac:dyDescent="0.5">
      <c r="A160" s="258" t="s">
        <v>210</v>
      </c>
      <c r="B160" s="258"/>
      <c r="C160" s="258"/>
      <c r="D160" s="258"/>
      <c r="E160" s="258"/>
      <c r="F160" s="258"/>
      <c r="G160" s="258"/>
      <c r="I160" s="259" t="s">
        <v>37</v>
      </c>
      <c r="J160" s="260"/>
      <c r="K160" s="259"/>
      <c r="L160" s="260"/>
    </row>
    <row r="161" spans="1:12" ht="23.1" customHeight="1" thickTop="1" x14ac:dyDescent="0.45">
      <c r="A161" s="127" t="s">
        <v>38</v>
      </c>
      <c r="B161" s="127" t="s">
        <v>39</v>
      </c>
      <c r="C161" s="127" t="s">
        <v>40</v>
      </c>
      <c r="D161" s="128" t="s">
        <v>41</v>
      </c>
      <c r="E161" s="128" t="s">
        <v>42</v>
      </c>
      <c r="F161" s="128" t="s">
        <v>43</v>
      </c>
      <c r="G161" s="127" t="s">
        <v>44</v>
      </c>
      <c r="I161" s="14" t="s">
        <v>40</v>
      </c>
      <c r="J161" s="15" t="s">
        <v>41</v>
      </c>
      <c r="K161" s="15" t="s">
        <v>42</v>
      </c>
      <c r="L161" s="15" t="s">
        <v>43</v>
      </c>
    </row>
    <row r="162" spans="1:12" ht="23.25" customHeight="1" x14ac:dyDescent="0.45">
      <c r="A162" s="16" t="s">
        <v>211</v>
      </c>
      <c r="B162" s="119" t="s">
        <v>212</v>
      </c>
      <c r="C162" s="19"/>
      <c r="D162" s="23"/>
      <c r="E162" s="18"/>
      <c r="F162" s="18"/>
      <c r="G162" s="17" t="s">
        <v>149</v>
      </c>
      <c r="I162" s="19"/>
      <c r="J162" s="18"/>
      <c r="K162" s="18"/>
      <c r="L162" s="18"/>
    </row>
    <row r="163" spans="1:12" ht="23.4" customHeight="1" x14ac:dyDescent="0.45">
      <c r="A163" s="19" t="s">
        <v>150</v>
      </c>
      <c r="B163" s="17"/>
      <c r="C163" s="22">
        <v>1</v>
      </c>
      <c r="D163" s="23" t="s">
        <v>152</v>
      </c>
      <c r="E163" s="24">
        <f>26700*1.35</f>
        <v>36045</v>
      </c>
      <c r="F163" s="18">
        <f>SUM(C163*E163)</f>
        <v>36045</v>
      </c>
      <c r="G163" s="17"/>
      <c r="I163" s="19"/>
      <c r="J163" s="23"/>
      <c r="K163" s="24"/>
      <c r="L163" s="18">
        <f>SUM(I163*K163)</f>
        <v>0</v>
      </c>
    </row>
    <row r="164" spans="1:12" ht="23.4" customHeight="1" x14ac:dyDescent="0.45">
      <c r="A164" s="19" t="s">
        <v>154</v>
      </c>
      <c r="B164" s="21"/>
      <c r="C164" s="22">
        <v>2</v>
      </c>
      <c r="D164" s="23" t="s">
        <v>152</v>
      </c>
      <c r="E164" s="24">
        <f>23600*1.35</f>
        <v>31860.000000000004</v>
      </c>
      <c r="F164" s="18">
        <f t="shared" ref="F164:F167" si="25">SUM(C164*E164)</f>
        <v>63720.000000000007</v>
      </c>
      <c r="G164" s="17"/>
      <c r="I164" s="19"/>
      <c r="J164" s="23"/>
      <c r="K164" s="24"/>
      <c r="L164" s="18"/>
    </row>
    <row r="165" spans="1:12" ht="23.4" customHeight="1" x14ac:dyDescent="0.45">
      <c r="A165" s="19" t="s">
        <v>156</v>
      </c>
      <c r="B165" s="126" t="s">
        <v>213</v>
      </c>
      <c r="C165" s="22">
        <v>1</v>
      </c>
      <c r="D165" s="23" t="s">
        <v>133</v>
      </c>
      <c r="E165" s="24">
        <v>14000</v>
      </c>
      <c r="F165" s="18">
        <f t="shared" si="25"/>
        <v>14000</v>
      </c>
      <c r="G165" s="17"/>
      <c r="I165" s="19"/>
      <c r="J165" s="23"/>
      <c r="K165" s="24"/>
      <c r="L165" s="18">
        <f>SUM(I165*K165)</f>
        <v>0</v>
      </c>
    </row>
    <row r="166" spans="1:12" ht="23.4" customHeight="1" x14ac:dyDescent="0.45">
      <c r="A166" s="19" t="s">
        <v>158</v>
      </c>
      <c r="B166" s="21" t="s">
        <v>214</v>
      </c>
      <c r="C166" s="22">
        <v>1</v>
      </c>
      <c r="D166" s="23" t="s">
        <v>133</v>
      </c>
      <c r="E166" s="24">
        <v>6000</v>
      </c>
      <c r="F166" s="18">
        <f t="shared" si="25"/>
        <v>6000</v>
      </c>
      <c r="G166" s="17"/>
      <c r="I166" s="19"/>
      <c r="J166" s="23"/>
      <c r="K166" s="24"/>
      <c r="L166" s="18"/>
    </row>
    <row r="167" spans="1:12" ht="23.4" customHeight="1" x14ac:dyDescent="0.45">
      <c r="A167" s="19" t="s">
        <v>160</v>
      </c>
      <c r="B167" s="17" t="s">
        <v>161</v>
      </c>
      <c r="C167" s="22">
        <v>1</v>
      </c>
      <c r="D167" s="23" t="s">
        <v>133</v>
      </c>
      <c r="E167" s="24">
        <v>5500</v>
      </c>
      <c r="F167" s="18">
        <f t="shared" si="25"/>
        <v>5500</v>
      </c>
      <c r="G167" s="17"/>
      <c r="I167" s="118"/>
      <c r="J167" s="43"/>
      <c r="K167" s="24"/>
      <c r="L167" s="18">
        <f>SUM(I167*K167)</f>
        <v>0</v>
      </c>
    </row>
    <row r="168" spans="1:12" ht="23.4" customHeight="1" x14ac:dyDescent="0.45">
      <c r="A168" s="19" t="s">
        <v>167</v>
      </c>
      <c r="B168" s="17" t="s">
        <v>168</v>
      </c>
      <c r="C168" s="22">
        <v>1</v>
      </c>
      <c r="D168" s="23" t="s">
        <v>169</v>
      </c>
      <c r="E168" s="24">
        <v>3900</v>
      </c>
      <c r="F168" s="18"/>
      <c r="G168" s="17" t="s">
        <v>170</v>
      </c>
      <c r="I168" s="19"/>
      <c r="J168" s="23"/>
      <c r="K168" s="24"/>
      <c r="L168" s="26"/>
    </row>
    <row r="169" spans="1:12" ht="23.4" customHeight="1" x14ac:dyDescent="0.45">
      <c r="A169" s="325" t="s">
        <v>175</v>
      </c>
      <c r="B169" s="325"/>
      <c r="C169" s="325"/>
      <c r="D169" s="325"/>
      <c r="E169" s="325"/>
      <c r="F169" s="325"/>
      <c r="G169" s="325"/>
      <c r="I169" s="118"/>
      <c r="J169" s="43"/>
      <c r="K169" s="24"/>
      <c r="L169" s="18">
        <f>SUM(I169*K169)</f>
        <v>0</v>
      </c>
    </row>
    <row r="170" spans="1:12" ht="23.4" customHeight="1" x14ac:dyDescent="0.45">
      <c r="A170" s="19"/>
      <c r="B170" s="17"/>
      <c r="C170" s="22"/>
      <c r="D170" s="23"/>
      <c r="E170" s="24"/>
      <c r="F170" s="18"/>
      <c r="G170" s="17"/>
      <c r="I170" s="19"/>
      <c r="J170" s="23"/>
      <c r="K170" s="24"/>
      <c r="L170" s="18"/>
    </row>
    <row r="171" spans="1:12" ht="23.4" customHeight="1" x14ac:dyDescent="0.45">
      <c r="A171" s="29"/>
      <c r="B171" s="17"/>
      <c r="C171" s="22"/>
      <c r="D171" s="23"/>
      <c r="E171" s="24"/>
      <c r="F171" s="37"/>
      <c r="G171" s="17"/>
      <c r="I171" s="19"/>
      <c r="J171" s="23"/>
      <c r="K171" s="24"/>
      <c r="L171" s="18"/>
    </row>
    <row r="172" spans="1:12" ht="23.4" customHeight="1" x14ac:dyDescent="0.45">
      <c r="A172" s="19"/>
      <c r="B172" s="21"/>
      <c r="C172" s="22"/>
      <c r="D172" s="23"/>
      <c r="E172" s="24"/>
      <c r="F172" s="120"/>
      <c r="G172" s="17"/>
      <c r="I172" s="32"/>
      <c r="J172" s="33"/>
      <c r="K172" s="34"/>
      <c r="L172" s="34"/>
    </row>
    <row r="173" spans="1:12" ht="23.4" customHeight="1" x14ac:dyDescent="0.45">
      <c r="A173" s="29"/>
      <c r="B173" s="17"/>
      <c r="C173" s="22"/>
      <c r="D173" s="23"/>
      <c r="E173" s="125"/>
      <c r="F173" s="18"/>
      <c r="G173" s="17"/>
      <c r="I173" s="19"/>
      <c r="J173" s="23"/>
      <c r="K173" s="18"/>
      <c r="L173" s="18"/>
    </row>
    <row r="174" spans="1:12" ht="23.4" customHeight="1" x14ac:dyDescent="0.45">
      <c r="A174" s="121" t="s">
        <v>46</v>
      </c>
      <c r="B174" s="17"/>
      <c r="C174" s="22">
        <v>1</v>
      </c>
      <c r="D174" s="23" t="s">
        <v>31</v>
      </c>
      <c r="E174" s="24">
        <f>SUM(F163:F168)*0.004</f>
        <v>501.06</v>
      </c>
      <c r="F174" s="18">
        <f t="shared" ref="F174:F175" si="26">SUM(C174*E174)</f>
        <v>501.06</v>
      </c>
      <c r="G174" s="17"/>
      <c r="I174" s="19"/>
      <c r="J174" s="23"/>
      <c r="K174" s="18"/>
      <c r="L174" s="18"/>
    </row>
    <row r="175" spans="1:12" ht="23.4" customHeight="1" x14ac:dyDescent="0.45">
      <c r="A175" s="121" t="s">
        <v>49</v>
      </c>
      <c r="B175" s="17"/>
      <c r="C175" s="22">
        <v>1</v>
      </c>
      <c r="D175" s="23" t="s">
        <v>31</v>
      </c>
      <c r="E175" s="24">
        <f>SUM(F163:F170)*0.15</f>
        <v>18789.75</v>
      </c>
      <c r="F175" s="18">
        <f t="shared" si="26"/>
        <v>18789.75</v>
      </c>
      <c r="G175" s="17"/>
      <c r="I175" s="123">
        <f>SUM(F163:F172)</f>
        <v>125265</v>
      </c>
      <c r="J175" s="23"/>
      <c r="K175" s="18"/>
      <c r="L175" s="18"/>
    </row>
    <row r="176" spans="1:12" ht="23.4" customHeight="1" x14ac:dyDescent="0.45">
      <c r="A176" s="19" t="s">
        <v>50</v>
      </c>
      <c r="B176" s="17"/>
      <c r="C176" s="22"/>
      <c r="D176" s="23"/>
      <c r="E176" s="24"/>
      <c r="F176" s="18">
        <v>-521</v>
      </c>
      <c r="G176" s="324" t="s">
        <v>115</v>
      </c>
      <c r="I176" s="124">
        <f>SUM(E177/I175)</f>
        <v>0.11946473476230392</v>
      </c>
      <c r="J176" s="18"/>
      <c r="K176" s="18"/>
      <c r="L176" s="18"/>
    </row>
    <row r="177" spans="1:12" ht="23.4" customHeight="1" x14ac:dyDescent="0.45">
      <c r="A177" s="19" t="s">
        <v>171</v>
      </c>
      <c r="B177" s="17"/>
      <c r="C177" s="22">
        <v>1</v>
      </c>
      <c r="D177" s="23" t="s">
        <v>31</v>
      </c>
      <c r="E177" s="24">
        <f>SUM(F163:F164)*0.15</f>
        <v>14964.75</v>
      </c>
      <c r="F177" s="18">
        <f t="shared" ref="F177" si="27">SUM(C177*E177)</f>
        <v>14964.75</v>
      </c>
      <c r="G177" s="324"/>
      <c r="I177" s="17"/>
      <c r="J177" s="18"/>
      <c r="K177" s="18"/>
      <c r="L177" s="18"/>
    </row>
    <row r="178" spans="1:12" ht="23.4" customHeight="1" thickBot="1" x14ac:dyDescent="0.5">
      <c r="A178" s="29" t="s">
        <v>215</v>
      </c>
      <c r="B178" s="17"/>
      <c r="C178" s="22"/>
      <c r="D178" s="23"/>
      <c r="E178" s="24"/>
      <c r="F178" s="37">
        <f>SUM(F163:F177)</f>
        <v>158999.56</v>
      </c>
      <c r="G178" s="17"/>
      <c r="I178" s="17"/>
      <c r="J178" s="18"/>
      <c r="K178" s="18"/>
      <c r="L178" s="37">
        <f>SUM(L162:L175)</f>
        <v>0</v>
      </c>
    </row>
    <row r="179" spans="1:12" ht="23.4" thickTop="1" thickBot="1" x14ac:dyDescent="0.5">
      <c r="A179" s="258" t="s">
        <v>216</v>
      </c>
      <c r="B179" s="258"/>
      <c r="C179" s="258"/>
      <c r="D179" s="258"/>
      <c r="E179" s="258"/>
      <c r="F179" s="258"/>
      <c r="G179" s="258"/>
      <c r="I179" s="259" t="s">
        <v>37</v>
      </c>
      <c r="J179" s="260"/>
      <c r="K179" s="259"/>
      <c r="L179" s="260"/>
    </row>
    <row r="180" spans="1:12" ht="23.1" customHeight="1" thickTop="1" x14ac:dyDescent="0.45">
      <c r="A180" s="127" t="s">
        <v>38</v>
      </c>
      <c r="B180" s="127" t="s">
        <v>39</v>
      </c>
      <c r="C180" s="127" t="s">
        <v>40</v>
      </c>
      <c r="D180" s="128" t="s">
        <v>41</v>
      </c>
      <c r="E180" s="128" t="s">
        <v>42</v>
      </c>
      <c r="F180" s="128" t="s">
        <v>43</v>
      </c>
      <c r="G180" s="127" t="s">
        <v>44</v>
      </c>
      <c r="I180" s="14" t="s">
        <v>40</v>
      </c>
      <c r="J180" s="15" t="s">
        <v>41</v>
      </c>
      <c r="K180" s="15" t="s">
        <v>42</v>
      </c>
      <c r="L180" s="15" t="s">
        <v>43</v>
      </c>
    </row>
    <row r="181" spans="1:12" ht="23.25" customHeight="1" x14ac:dyDescent="0.45">
      <c r="A181" s="16" t="s">
        <v>217</v>
      </c>
      <c r="B181" s="119" t="s">
        <v>218</v>
      </c>
      <c r="C181" s="19"/>
      <c r="D181" s="23"/>
      <c r="E181" s="18"/>
      <c r="F181" s="18"/>
      <c r="G181" s="17" t="s">
        <v>149</v>
      </c>
      <c r="I181" s="19"/>
      <c r="J181" s="18"/>
      <c r="K181" s="18"/>
      <c r="L181" s="18"/>
    </row>
    <row r="182" spans="1:12" ht="23.4" customHeight="1" x14ac:dyDescent="0.45">
      <c r="A182" s="19" t="s">
        <v>150</v>
      </c>
      <c r="B182" s="17"/>
      <c r="C182" s="22">
        <v>1</v>
      </c>
      <c r="D182" s="23" t="s">
        <v>152</v>
      </c>
      <c r="E182" s="24">
        <v>26700</v>
      </c>
      <c r="F182" s="18">
        <f>SUM(C182*E182)</f>
        <v>26700</v>
      </c>
      <c r="G182" s="17"/>
      <c r="I182" s="19"/>
      <c r="J182" s="23"/>
      <c r="K182" s="24"/>
      <c r="L182" s="18">
        <f>SUM(I182*K182)</f>
        <v>0</v>
      </c>
    </row>
    <row r="183" spans="1:12" ht="23.4" customHeight="1" x14ac:dyDescent="0.45">
      <c r="A183" s="19" t="s">
        <v>154</v>
      </c>
      <c r="B183" s="21"/>
      <c r="C183" s="22">
        <v>2</v>
      </c>
      <c r="D183" s="23" t="s">
        <v>152</v>
      </c>
      <c r="E183" s="24">
        <v>23600</v>
      </c>
      <c r="F183" s="18">
        <f t="shared" ref="F183:F186" si="28">SUM(C183*E183)</f>
        <v>47200</v>
      </c>
      <c r="G183" s="17"/>
      <c r="I183" s="19"/>
      <c r="J183" s="23"/>
      <c r="K183" s="24"/>
      <c r="L183" s="18"/>
    </row>
    <row r="184" spans="1:12" ht="23.4" customHeight="1" x14ac:dyDescent="0.45">
      <c r="A184" s="19" t="s">
        <v>156</v>
      </c>
      <c r="B184" s="126" t="s">
        <v>213</v>
      </c>
      <c r="C184" s="22">
        <v>1</v>
      </c>
      <c r="D184" s="23" t="s">
        <v>133</v>
      </c>
      <c r="E184" s="24">
        <v>14000</v>
      </c>
      <c r="F184" s="18">
        <f t="shared" si="28"/>
        <v>14000</v>
      </c>
      <c r="G184" s="17"/>
      <c r="I184" s="19"/>
      <c r="J184" s="23"/>
      <c r="K184" s="24"/>
      <c r="L184" s="18">
        <f>SUM(I184*K184)</f>
        <v>0</v>
      </c>
    </row>
    <row r="185" spans="1:12" ht="23.4" customHeight="1" x14ac:dyDescent="0.45">
      <c r="A185" s="19" t="s">
        <v>158</v>
      </c>
      <c r="B185" s="21" t="s">
        <v>214</v>
      </c>
      <c r="C185" s="22">
        <v>1</v>
      </c>
      <c r="D185" s="23" t="s">
        <v>133</v>
      </c>
      <c r="E185" s="24">
        <v>6000</v>
      </c>
      <c r="F185" s="18">
        <f t="shared" si="28"/>
        <v>6000</v>
      </c>
      <c r="G185" s="17"/>
      <c r="I185" s="19"/>
      <c r="J185" s="23"/>
      <c r="K185" s="24"/>
      <c r="L185" s="18"/>
    </row>
    <row r="186" spans="1:12" ht="23.4" customHeight="1" x14ac:dyDescent="0.45">
      <c r="A186" s="19" t="s">
        <v>160</v>
      </c>
      <c r="B186" s="17" t="s">
        <v>161</v>
      </c>
      <c r="C186" s="22">
        <v>1</v>
      </c>
      <c r="D186" s="23" t="s">
        <v>133</v>
      </c>
      <c r="E186" s="24">
        <v>5500</v>
      </c>
      <c r="F186" s="18">
        <f t="shared" si="28"/>
        <v>5500</v>
      </c>
      <c r="G186" s="17"/>
      <c r="I186" s="118"/>
      <c r="J186" s="43"/>
      <c r="K186" s="24"/>
      <c r="L186" s="18">
        <f>SUM(I186*K186)</f>
        <v>0</v>
      </c>
    </row>
    <row r="187" spans="1:12" ht="23.4" customHeight="1" x14ac:dyDescent="0.45">
      <c r="A187" s="19" t="s">
        <v>167</v>
      </c>
      <c r="B187" s="17" t="s">
        <v>168</v>
      </c>
      <c r="C187" s="22">
        <v>1</v>
      </c>
      <c r="D187" s="23" t="s">
        <v>169</v>
      </c>
      <c r="E187" s="24">
        <v>3125</v>
      </c>
      <c r="F187" s="18"/>
      <c r="G187" s="17" t="s">
        <v>170</v>
      </c>
      <c r="I187" s="19"/>
      <c r="J187" s="23"/>
      <c r="K187" s="24"/>
      <c r="L187" s="26"/>
    </row>
    <row r="188" spans="1:12" ht="23.4" customHeight="1" x14ac:dyDescent="0.45">
      <c r="A188" s="19"/>
      <c r="B188" s="17"/>
      <c r="C188" s="22"/>
      <c r="D188" s="23"/>
      <c r="E188" s="24"/>
      <c r="F188" s="18"/>
      <c r="G188" s="17"/>
      <c r="I188" s="118"/>
      <c r="J188" s="43"/>
      <c r="K188" s="24"/>
      <c r="L188" s="18">
        <f>SUM(I188*K188)</f>
        <v>0</v>
      </c>
    </row>
    <row r="189" spans="1:12" ht="23.4" customHeight="1" x14ac:dyDescent="0.45">
      <c r="A189" s="19"/>
      <c r="B189" s="17"/>
      <c r="C189" s="22"/>
      <c r="D189" s="23"/>
      <c r="E189" s="24"/>
      <c r="F189" s="18"/>
      <c r="G189" s="17"/>
      <c r="I189" s="19"/>
      <c r="J189" s="23"/>
      <c r="K189" s="24"/>
      <c r="L189" s="18"/>
    </row>
    <row r="190" spans="1:12" ht="23.4" customHeight="1" x14ac:dyDescent="0.45">
      <c r="A190" s="29"/>
      <c r="B190" s="17"/>
      <c r="C190" s="22"/>
      <c r="D190" s="23"/>
      <c r="E190" s="24"/>
      <c r="F190" s="37"/>
      <c r="G190" s="17"/>
      <c r="I190" s="19"/>
      <c r="J190" s="23"/>
      <c r="K190" s="24"/>
      <c r="L190" s="18"/>
    </row>
    <row r="191" spans="1:12" ht="23.4" customHeight="1" x14ac:dyDescent="0.45">
      <c r="A191" s="19"/>
      <c r="B191" s="21"/>
      <c r="C191" s="22"/>
      <c r="D191" s="23"/>
      <c r="E191" s="24"/>
      <c r="F191" s="120"/>
      <c r="G191" s="17"/>
      <c r="I191" s="32"/>
      <c r="J191" s="33"/>
      <c r="K191" s="34"/>
      <c r="L191" s="34"/>
    </row>
    <row r="192" spans="1:12" ht="23.4" customHeight="1" x14ac:dyDescent="0.45">
      <c r="A192" s="29"/>
      <c r="B192" s="17"/>
      <c r="C192" s="22"/>
      <c r="D192" s="23"/>
      <c r="E192" s="125"/>
      <c r="F192" s="18"/>
      <c r="G192" s="17"/>
      <c r="I192" s="19"/>
      <c r="J192" s="23"/>
      <c r="K192" s="18"/>
      <c r="L192" s="18"/>
    </row>
    <row r="193" spans="1:12" ht="23.4" customHeight="1" x14ac:dyDescent="0.45">
      <c r="A193" s="121" t="s">
        <v>46</v>
      </c>
      <c r="B193" s="17"/>
      <c r="C193" s="22">
        <v>1</v>
      </c>
      <c r="D193" s="23" t="s">
        <v>31</v>
      </c>
      <c r="E193" s="24">
        <f>SUM(F182:F187)*0.004</f>
        <v>397.6</v>
      </c>
      <c r="F193" s="18">
        <f t="shared" ref="F193:F194" si="29">SUM(C193*E193)</f>
        <v>397.6</v>
      </c>
      <c r="G193" s="17"/>
      <c r="I193" s="19"/>
      <c r="J193" s="23"/>
      <c r="K193" s="18"/>
      <c r="L193" s="18"/>
    </row>
    <row r="194" spans="1:12" ht="23.4" customHeight="1" x14ac:dyDescent="0.45">
      <c r="A194" s="121" t="s">
        <v>49</v>
      </c>
      <c r="B194" s="17"/>
      <c r="C194" s="22">
        <v>1</v>
      </c>
      <c r="D194" s="23" t="s">
        <v>31</v>
      </c>
      <c r="E194" s="24">
        <f>SUM(F182:F189)*0.15</f>
        <v>14910</v>
      </c>
      <c r="F194" s="18">
        <f t="shared" si="29"/>
        <v>14910</v>
      </c>
      <c r="G194" s="17"/>
      <c r="I194" s="123">
        <f>SUM(F182:F191)</f>
        <v>99400</v>
      </c>
      <c r="J194" s="23"/>
      <c r="K194" s="18"/>
      <c r="L194" s="18"/>
    </row>
    <row r="195" spans="1:12" ht="23.4" customHeight="1" x14ac:dyDescent="0.45">
      <c r="A195" s="19" t="s">
        <v>50</v>
      </c>
      <c r="B195" s="17"/>
      <c r="C195" s="22"/>
      <c r="D195" s="23"/>
      <c r="E195" s="24"/>
      <c r="F195" s="18">
        <v>-5793</v>
      </c>
      <c r="G195" s="324" t="s">
        <v>115</v>
      </c>
      <c r="I195" s="124">
        <f>SUM(E196/I194)</f>
        <v>0.11151911468812878</v>
      </c>
      <c r="J195" s="18"/>
      <c r="K195" s="18"/>
      <c r="L195" s="18"/>
    </row>
    <row r="196" spans="1:12" ht="23.4" customHeight="1" x14ac:dyDescent="0.45">
      <c r="A196" s="19" t="s">
        <v>171</v>
      </c>
      <c r="B196" s="17"/>
      <c r="C196" s="22">
        <v>1</v>
      </c>
      <c r="D196" s="23" t="s">
        <v>31</v>
      </c>
      <c r="E196" s="24">
        <f>SUM(F182:F183)*0.15</f>
        <v>11085</v>
      </c>
      <c r="F196" s="18">
        <f t="shared" ref="F196" si="30">SUM(C196*E196)</f>
        <v>11085</v>
      </c>
      <c r="G196" s="324"/>
      <c r="I196" s="17"/>
      <c r="J196" s="18"/>
      <c r="K196" s="18"/>
      <c r="L196" s="18"/>
    </row>
    <row r="197" spans="1:12" ht="23.4" customHeight="1" x14ac:dyDescent="0.45">
      <c r="A197" s="29" t="s">
        <v>219</v>
      </c>
      <c r="B197" s="17"/>
      <c r="C197" s="22"/>
      <c r="D197" s="23"/>
      <c r="E197" s="24"/>
      <c r="F197" s="37">
        <f>SUM(F182:F196)</f>
        <v>119999.6</v>
      </c>
      <c r="G197" s="17"/>
      <c r="I197" s="17"/>
      <c r="J197" s="18"/>
      <c r="K197" s="18"/>
      <c r="L197" s="37">
        <f>SUM(L181:L194)</f>
        <v>0</v>
      </c>
    </row>
  </sheetData>
  <mergeCells count="45">
    <mergeCell ref="G56:G57"/>
    <mergeCell ref="A1:G1"/>
    <mergeCell ref="I1:J1"/>
    <mergeCell ref="K1:L1"/>
    <mergeCell ref="G17:G18"/>
    <mergeCell ref="A20:G20"/>
    <mergeCell ref="A31:G31"/>
    <mergeCell ref="G36:G37"/>
    <mergeCell ref="A39:G39"/>
    <mergeCell ref="I39:J39"/>
    <mergeCell ref="K39:L39"/>
    <mergeCell ref="A50:G50"/>
    <mergeCell ref="G117:G118"/>
    <mergeCell ref="A59:G59"/>
    <mergeCell ref="I59:J59"/>
    <mergeCell ref="K59:L59"/>
    <mergeCell ref="A70:G70"/>
    <mergeCell ref="G77:G78"/>
    <mergeCell ref="A80:G80"/>
    <mergeCell ref="I80:J80"/>
    <mergeCell ref="K80:L80"/>
    <mergeCell ref="G97:G98"/>
    <mergeCell ref="A100:G100"/>
    <mergeCell ref="I100:J100"/>
    <mergeCell ref="K100:L100"/>
    <mergeCell ref="A111:G111"/>
    <mergeCell ref="A169:G169"/>
    <mergeCell ref="A120:G120"/>
    <mergeCell ref="I120:J120"/>
    <mergeCell ref="K120:L120"/>
    <mergeCell ref="A131:G131"/>
    <mergeCell ref="G138:G139"/>
    <mergeCell ref="A141:G141"/>
    <mergeCell ref="I141:J141"/>
    <mergeCell ref="K141:L141"/>
    <mergeCell ref="A152:G152"/>
    <mergeCell ref="G157:G158"/>
    <mergeCell ref="A160:G160"/>
    <mergeCell ref="I160:J160"/>
    <mergeCell ref="K160:L160"/>
    <mergeCell ref="G176:G177"/>
    <mergeCell ref="A179:G179"/>
    <mergeCell ref="I179:J179"/>
    <mergeCell ref="K179:L179"/>
    <mergeCell ref="G195:G196"/>
  </mergeCells>
  <phoneticPr fontId="3"/>
  <printOptions horizontalCentered="1" verticalCentered="1"/>
  <pageMargins left="0.70866141732283472" right="0.70866141732283472" top="0.74803149606299213" bottom="0.74803149606299213" header="0.31496062992125984" footer="0.31496062992125984"/>
  <pageSetup paperSize="9" scale="84" orientation="landscape" r:id="rId1"/>
  <rowBreaks count="9" manualBreakCount="9">
    <brk id="19" max="6" man="1"/>
    <brk id="38" max="6" man="1"/>
    <brk id="58" max="6" man="1"/>
    <brk id="79" max="6" man="1"/>
    <brk id="99" max="6" man="1"/>
    <brk id="119" max="6" man="1"/>
    <brk id="140" max="6" man="1"/>
    <brk id="159" max="6" man="1"/>
    <brk id="178"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11</vt:i4>
      </vt:variant>
    </vt:vector>
  </HeadingPairs>
  <TitlesOfParts>
    <vt:vector size="22" baseType="lpstr">
      <vt:lpstr>表紙</vt:lpstr>
      <vt:lpstr>床版防水工</vt:lpstr>
      <vt:lpstr>防水　条件書</vt:lpstr>
      <vt:lpstr>床版補修　WJ</vt:lpstr>
      <vt:lpstr>床版補修　条件書</vt:lpstr>
      <vt:lpstr>床版補修　リペア</vt:lpstr>
      <vt:lpstr>WJ床版補修　条件書 </vt:lpstr>
      <vt:lpstr>コンクリートハツリ工</vt:lpstr>
      <vt:lpstr>ハンドガン　条件書 </vt:lpstr>
      <vt:lpstr>舗装関連　表紙</vt:lpstr>
      <vt:lpstr>舗装関連　内訳書</vt:lpstr>
      <vt:lpstr>'WJ床版補修　条件書 '!Print_Area</vt:lpstr>
      <vt:lpstr>コンクリートハツリ工!Print_Area</vt:lpstr>
      <vt:lpstr>'ハンドガン　条件書 '!Print_Area</vt:lpstr>
      <vt:lpstr>'床版補修　WJ'!Print_Area</vt:lpstr>
      <vt:lpstr>'床版補修　リペア'!Print_Area</vt:lpstr>
      <vt:lpstr>'床版補修　条件書'!Print_Area</vt:lpstr>
      <vt:lpstr>床版防水工!Print_Area</vt:lpstr>
      <vt:lpstr>表紙!Print_Area</vt:lpstr>
      <vt:lpstr>'舗装関連　内訳書'!Print_Area</vt:lpstr>
      <vt:lpstr>'舗装関連　表紙'!Print_Area</vt:lpstr>
      <vt:lpstr>'防水　条件書'!Print_Area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拓 上原</dc:creator>
  <cp:lastModifiedBy>拓 上原</cp:lastModifiedBy>
  <cp:lastPrinted>2025-12-10T03:21:52Z</cp:lastPrinted>
  <dcterms:created xsi:type="dcterms:W3CDTF">2024-02-09T04:49:19Z</dcterms:created>
  <dcterms:modified xsi:type="dcterms:W3CDTF">2025-12-10T03:21:57Z</dcterms:modified>
</cp:coreProperties>
</file>