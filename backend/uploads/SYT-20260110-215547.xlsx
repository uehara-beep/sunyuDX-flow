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ueharataku/Desktop/書類/進行中/"/>
    </mc:Choice>
  </mc:AlternateContent>
  <xr:revisionPtr revIDLastSave="0" documentId="8_{08404EBF-51E2-7941-90AD-43E32638F4C9}" xr6:coauthVersionLast="47" xr6:coauthVersionMax="47" xr10:uidLastSave="{00000000-0000-0000-0000-000000000000}"/>
  <bookViews>
    <workbookView xWindow="19200" yWindow="760" windowWidth="19200" windowHeight="22100" xr2:uid="{C5C81E12-876B-4960-841D-440736DF6C76}"/>
  </bookViews>
  <sheets>
    <sheet name="表紙" sheetId="1" r:id="rId1"/>
    <sheet name="内訳明細書" sheetId="2" r:id="rId2"/>
  </sheets>
  <externalReferences>
    <externalReference r:id="rId3"/>
    <externalReference r:id="rId4"/>
  </externalReferences>
  <definedNames>
    <definedName name="HTML_CodePage" hidden="1">932</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1">[1]工事総括!#REF!</definedName>
    <definedName name="JVSB1会社名" localSheetId="0">[1]工事総括!#REF!</definedName>
    <definedName name="JVSB1会社名">[1]工事総括!#REF!</definedName>
    <definedName name="JVSB1比率" localSheetId="1">[1]工事総括!#REF!</definedName>
    <definedName name="JVSB1比率" localSheetId="0">[1]工事総括!#REF!</definedName>
    <definedName name="JVSB1比率">[1]工事総括!#REF!</definedName>
    <definedName name="JVSB2会社名" localSheetId="1">[1]工事総括!#REF!</definedName>
    <definedName name="JVSB2会社名" localSheetId="0">[1]工事総括!#REF!</definedName>
    <definedName name="JVSB2会社名">[1]工事総括!#REF!</definedName>
    <definedName name="JVSB2比率" localSheetId="1">[1]工事総括!#REF!</definedName>
    <definedName name="JVSB2比率" localSheetId="0">[1]工事総括!#REF!</definedName>
    <definedName name="JVSB2比率">[1]工事総括!#REF!</definedName>
    <definedName name="JVSB3会社名" localSheetId="1">[1]工事総括!#REF!</definedName>
    <definedName name="JVSB3会社名" localSheetId="0">[1]工事総括!#REF!</definedName>
    <definedName name="JVSB3会社名">[1]工事総括!#REF!</definedName>
    <definedName name="JVSB3比率" localSheetId="1">[1]工事総括!#REF!</definedName>
    <definedName name="JVSB3比率" localSheetId="0">[1]工事総括!#REF!</definedName>
    <definedName name="JVSB3比率">[1]工事総括!#REF!</definedName>
    <definedName name="JVSB4会社名" localSheetId="1">[1]工事総括!#REF!</definedName>
    <definedName name="JVSB4会社名" localSheetId="0">[1]工事総括!#REF!</definedName>
    <definedName name="JVSB4会社名">[1]工事総括!#REF!</definedName>
    <definedName name="JVSB4比率" localSheetId="1">[1]工事総括!#REF!</definedName>
    <definedName name="JVSB4比率" localSheetId="0">[1]工事総括!#REF!</definedName>
    <definedName name="JVSB4比率">[1]工事総括!#REF!</definedName>
    <definedName name="JVSB5会社名" localSheetId="1">[1]工事総括!#REF!</definedName>
    <definedName name="JVSB5会社名" localSheetId="0">[1]工事総括!#REF!</definedName>
    <definedName name="JVSB5会社名">[1]工事総括!#REF!</definedName>
    <definedName name="JVSB5比率" localSheetId="1">[1]工事総括!#REF!</definedName>
    <definedName name="JVSB5比率" localSheetId="0">[1]工事総括!#REF!</definedName>
    <definedName name="JVSB5比率">[1]工事総括!#REF!</definedName>
    <definedName name="JVSP会社名" localSheetId="1">[1]工事総括!#REF!</definedName>
    <definedName name="JVSP会社名" localSheetId="0">[1]工事総括!#REF!</definedName>
    <definedName name="JVSP会社名">[1]工事総括!#REF!</definedName>
    <definedName name="JVSP比率" localSheetId="1">[1]工事総括!#REF!</definedName>
    <definedName name="JVSP比率" localSheetId="0">[1]工事総括!#REF!</definedName>
    <definedName name="JVSP比率">[1]工事総括!#REF!</definedName>
    <definedName name="_xlnm.Print_Area" localSheetId="1">内訳明細書!$A$1:$G$24</definedName>
    <definedName name="_xlnm.Print_Area" localSheetId="0">表紙!$A$1:$AY$38</definedName>
    <definedName name="っっっｄ" localSheetId="1">#REF!</definedName>
    <definedName name="っっっｄ" localSheetId="0">#REF!</definedName>
    <definedName name="っっっｄ">#REF!</definedName>
    <definedName name="営業担当" localSheetId="1">#REF!</definedName>
    <definedName name="営業担当" localSheetId="0">#REF!</definedName>
    <definedName name="営業担当">#REF!</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1">[1]工事総括!#REF!</definedName>
    <definedName name="現在持分工事価格">[1]工事総括!#REF!</definedName>
    <definedName name="現在全体工事価格" localSheetId="1">[1]工事総括!#REF!</definedName>
    <definedName name="現在全体工事価格">[1]工事総括!#REF!</definedName>
    <definedName name="工事名" localSheetId="1">#REF!</definedName>
    <definedName name="工事名" localSheetId="0">#REF!</definedName>
    <definedName name="工事名">#REF!</definedName>
    <definedName name="工事名1" localSheetId="1">#REF!</definedName>
    <definedName name="工事名1" localSheetId="0">#REF!</definedName>
    <definedName name="工事名1">#REF!</definedName>
    <definedName name="作業所名" localSheetId="1">#REF!</definedName>
    <definedName name="作業所名" localSheetId="0">#REF!</definedName>
    <definedName name="作業所名">#REF!</definedName>
    <definedName name="支店" localSheetId="1">#REF!</definedName>
    <definedName name="支店" localSheetId="0">#REF!</definedName>
    <definedName name="支店">#REF!</definedName>
    <definedName name="支店名" localSheetId="1">#REF!</definedName>
    <definedName name="支店名" localSheetId="0">#REF!</definedName>
    <definedName name="支店名">#REF!</definedName>
    <definedName name="施工状態" localSheetId="1">[1]工事総括!#REF!</definedName>
    <definedName name="施工状態">[1]工事総括!#REF!</definedName>
    <definedName name="受注形態" localSheetId="1">[1]工事総括!#REF!</definedName>
    <definedName name="受注形態">[1]工事総括!#REF!</definedName>
    <definedName name="当初持分工事価格">[1]工事総括!#REF!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F19" i="2"/>
  <c r="L45" i="2" l="1"/>
  <c r="L44" i="2"/>
  <c r="L43" i="2"/>
  <c r="F43" i="2"/>
  <c r="L42" i="2"/>
  <c r="F42" i="2"/>
  <c r="F41" i="2"/>
  <c r="L40" i="2"/>
  <c r="L39" i="2"/>
  <c r="L38" i="2"/>
  <c r="L37" i="2"/>
  <c r="L36" i="2"/>
  <c r="L35" i="2"/>
  <c r="L34" i="2"/>
  <c r="C34" i="2"/>
  <c r="F34" i="2" s="1"/>
  <c r="E39" i="2" s="1"/>
  <c r="L33" i="2"/>
  <c r="L32" i="2"/>
  <c r="F32" i="2"/>
  <c r="L31" i="2"/>
  <c r="F31" i="2"/>
  <c r="L30" i="2"/>
  <c r="F30" i="2"/>
  <c r="L29" i="2"/>
  <c r="F29" i="2"/>
  <c r="L28" i="2"/>
  <c r="L20" i="2"/>
  <c r="I18" i="2"/>
  <c r="K17" i="2"/>
  <c r="I17" i="2"/>
  <c r="F17" i="2"/>
  <c r="I15" i="2"/>
  <c r="O12" i="2"/>
  <c r="K10" i="2"/>
  <c r="I10" i="2"/>
  <c r="L10" i="2" s="1"/>
  <c r="O7" i="2"/>
  <c r="O8" i="2" s="1"/>
  <c r="E15" i="2"/>
  <c r="BA7" i="1"/>
  <c r="BD38" i="1"/>
  <c r="F46" i="2" l="1"/>
  <c r="M26" i="2" s="1"/>
  <c r="M27" i="2" s="1"/>
  <c r="M28" i="2" s="1"/>
  <c r="E18" i="2"/>
  <c r="K18" i="2" s="1"/>
  <c r="L18" i="2" s="1"/>
  <c r="E20" i="2"/>
  <c r="F20" i="2" s="1"/>
  <c r="L46" i="2"/>
  <c r="L17" i="2"/>
  <c r="K15" i="2"/>
  <c r="AZ39" i="1"/>
  <c r="L21" i="2" l="1"/>
  <c r="M21" i="2" s="1"/>
  <c r="N21" i="2" s="1"/>
  <c r="F18" i="2"/>
  <c r="F21" i="2" l="1"/>
  <c r="AL27" i="1" s="1"/>
  <c r="AL38" i="1" s="1"/>
  <c r="BP38" i="1" s="1"/>
  <c r="BJ38" i="1" l="1"/>
  <c r="U20" i="1"/>
  <c r="U21" i="1" s="1"/>
  <c r="U22" i="1" l="1"/>
</calcChain>
</file>

<file path=xl/sharedStrings.xml><?xml version="1.0" encoding="utf-8"?>
<sst xmlns="http://schemas.openxmlformats.org/spreadsheetml/2006/main" count="112" uniqueCount="77">
  <si>
    <t>決定</t>
    <rPh sb="0" eb="2">
      <t>ケッテイ</t>
    </rPh>
    <phoneticPr fontId="4"/>
  </si>
  <si>
    <t>合　計　（税抜）</t>
    <rPh sb="0" eb="1">
      <t>ゴウ</t>
    </rPh>
    <rPh sb="2" eb="3">
      <t>ケイ</t>
    </rPh>
    <rPh sb="5" eb="6">
      <t>ゼイ</t>
    </rPh>
    <rPh sb="6" eb="7">
      <t>ヌ</t>
    </rPh>
    <phoneticPr fontId="4"/>
  </si>
  <si>
    <t>率</t>
    <rPh sb="0" eb="1">
      <t>リツ</t>
    </rPh>
    <phoneticPr fontId="4"/>
  </si>
  <si>
    <t>粗利</t>
    <rPh sb="0" eb="2">
      <t>アラリ</t>
    </rPh>
    <phoneticPr fontId="4"/>
  </si>
  <si>
    <t>NET</t>
    <phoneticPr fontId="4"/>
  </si>
  <si>
    <t>式</t>
    <rPh sb="0" eb="1">
      <t>シキ</t>
    </rPh>
    <phoneticPr fontId="4"/>
  </si>
  <si>
    <t>備　考</t>
    <rPh sb="0" eb="1">
      <t>ビ</t>
    </rPh>
    <rPh sb="2" eb="3">
      <t>コウ</t>
    </rPh>
    <phoneticPr fontId="4"/>
  </si>
  <si>
    <t>金　額</t>
    <rPh sb="0" eb="1">
      <t>カネ</t>
    </rPh>
    <rPh sb="2" eb="3">
      <t>ガク</t>
    </rPh>
    <phoneticPr fontId="4"/>
  </si>
  <si>
    <t>単　価</t>
    <rPh sb="0" eb="1">
      <t>タン</t>
    </rPh>
    <rPh sb="2" eb="3">
      <t>アタイ</t>
    </rPh>
    <phoneticPr fontId="4"/>
  </si>
  <si>
    <t>単位</t>
    <rPh sb="0" eb="2">
      <t>タンイ</t>
    </rPh>
    <phoneticPr fontId="4"/>
  </si>
  <si>
    <t>数量</t>
    <rPh sb="0" eb="2">
      <t>スウリョウ</t>
    </rPh>
    <phoneticPr fontId="4"/>
  </si>
  <si>
    <t>仕様・規格・寸法</t>
    <rPh sb="0" eb="2">
      <t>シヨウ</t>
    </rPh>
    <rPh sb="3" eb="5">
      <t>キカク</t>
    </rPh>
    <rPh sb="6" eb="8">
      <t>スンポウ</t>
    </rPh>
    <phoneticPr fontId="4"/>
  </si>
  <si>
    <t>名　称</t>
    <rPh sb="0" eb="1">
      <t>ナ</t>
    </rPh>
    <rPh sb="2" eb="3">
      <t>ショウ</t>
    </rPh>
    <phoneticPr fontId="4"/>
  </si>
  <si>
    <t>No.</t>
    <phoneticPr fontId="4"/>
  </si>
  <si>
    <t>合　計　金　額</t>
    <rPh sb="0" eb="1">
      <t>ゴウ</t>
    </rPh>
    <rPh sb="2" eb="3">
      <t>ケイ</t>
    </rPh>
    <rPh sb="4" eb="5">
      <t>キン</t>
    </rPh>
    <rPh sb="6" eb="7">
      <t>ガク</t>
    </rPh>
    <phoneticPr fontId="4"/>
  </si>
  <si>
    <t>消 費 税(10%)</t>
    <rPh sb="0" eb="1">
      <t>ケ</t>
    </rPh>
    <rPh sb="2" eb="3">
      <t>ヒ</t>
    </rPh>
    <rPh sb="4" eb="5">
      <t>ゼイ</t>
    </rPh>
    <phoneticPr fontId="4"/>
  </si>
  <si>
    <t>小　計　金　額</t>
    <rPh sb="0" eb="1">
      <t>ショウ</t>
    </rPh>
    <rPh sb="2" eb="3">
      <t>ケイ</t>
    </rPh>
    <rPh sb="4" eb="5">
      <t>キン</t>
    </rPh>
    <rPh sb="6" eb="7">
      <t>ガク</t>
    </rPh>
    <phoneticPr fontId="4"/>
  </si>
  <si>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4"/>
  </si>
  <si>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4"/>
  </si>
  <si>
    <t>毎度、格別の御引立を賜り有難うございます。</t>
    <rPh sb="0" eb="2">
      <t>マイド</t>
    </rPh>
    <rPh sb="3" eb="5">
      <t>カクベツ</t>
    </rPh>
    <rPh sb="6" eb="9">
      <t>オヒキタ</t>
    </rPh>
    <rPh sb="10" eb="11">
      <t>タマワ</t>
    </rPh>
    <rPh sb="12" eb="14">
      <t>アリガト</t>
    </rPh>
    <phoneticPr fontId="4"/>
  </si>
  <si>
    <t>上原　拓</t>
    <rPh sb="0" eb="2">
      <t>ウエハラ</t>
    </rPh>
    <rPh sb="3" eb="4">
      <t>タク</t>
    </rPh>
    <phoneticPr fontId="4"/>
  </si>
  <si>
    <t>【担 当 者】</t>
    <rPh sb="1" eb="2">
      <t>タン</t>
    </rPh>
    <rPh sb="3" eb="4">
      <t>トウ</t>
    </rPh>
    <rPh sb="5" eb="6">
      <t>モノ</t>
    </rPh>
    <phoneticPr fontId="4"/>
  </si>
  <si>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4"/>
  </si>
  <si>
    <t>【特記事項】</t>
    <rPh sb="1" eb="5">
      <t>トッキジコウ</t>
    </rPh>
    <phoneticPr fontId="4"/>
  </si>
  <si>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4"/>
  </si>
  <si>
    <t>【産業廃棄物】</t>
    <rPh sb="1" eb="3">
      <t>サンギョウ</t>
    </rPh>
    <rPh sb="3" eb="6">
      <t>ハイキブツ</t>
    </rPh>
    <phoneticPr fontId="4"/>
  </si>
  <si>
    <t>出来高現金払 　現金100％</t>
    <rPh sb="0" eb="3">
      <t>デキダカ</t>
    </rPh>
    <rPh sb="3" eb="5">
      <t>ゲンキン</t>
    </rPh>
    <rPh sb="5" eb="6">
      <t>ハラ</t>
    </rPh>
    <rPh sb="8" eb="10">
      <t>ゲンキン</t>
    </rPh>
    <phoneticPr fontId="4"/>
  </si>
  <si>
    <t>【支払い条件】</t>
    <rPh sb="1" eb="3">
      <t>シハラ</t>
    </rPh>
    <rPh sb="4" eb="6">
      <t>ジョウケン</t>
    </rPh>
    <phoneticPr fontId="4"/>
  </si>
  <si>
    <t>3ヵ月</t>
    <rPh sb="2" eb="3">
      <t>ゲツ</t>
    </rPh>
    <phoneticPr fontId="4"/>
  </si>
  <si>
    <t>【有 効 期 限】</t>
    <rPh sb="1" eb="2">
      <t>ユウ</t>
    </rPh>
    <rPh sb="3" eb="4">
      <t>コウ</t>
    </rPh>
    <rPh sb="5" eb="6">
      <t>キ</t>
    </rPh>
    <rPh sb="7" eb="8">
      <t>カギ</t>
    </rPh>
    <phoneticPr fontId="4"/>
  </si>
  <si>
    <t>至</t>
    <rPh sb="0" eb="1">
      <t>イタ</t>
    </rPh>
    <phoneticPr fontId="4"/>
  </si>
  <si>
    <t>自</t>
    <rPh sb="0" eb="1">
      <t>ジ</t>
    </rPh>
    <phoneticPr fontId="4"/>
  </si>
  <si>
    <t>【工　　期】</t>
    <rPh sb="1" eb="2">
      <t>コウ</t>
    </rPh>
    <rPh sb="4" eb="5">
      <t>キ</t>
    </rPh>
    <phoneticPr fontId="4"/>
  </si>
  <si>
    <t>【工 事 場 所】</t>
    <rPh sb="1" eb="2">
      <t>コウ</t>
    </rPh>
    <rPh sb="3" eb="4">
      <t>コト</t>
    </rPh>
    <rPh sb="5" eb="6">
      <t>バ</t>
    </rPh>
    <rPh sb="7" eb="8">
      <t>ショ</t>
    </rPh>
    <phoneticPr fontId="4"/>
  </si>
  <si>
    <t>【工   事   名】</t>
    <rPh sb="1" eb="2">
      <t>コウ</t>
    </rPh>
    <rPh sb="5" eb="6">
      <t>コト</t>
    </rPh>
    <rPh sb="9" eb="10">
      <t>ナ</t>
    </rPh>
    <phoneticPr fontId="4"/>
  </si>
  <si>
    <t>御中</t>
    <rPh sb="0" eb="2">
      <t>オンチュウ</t>
    </rPh>
    <phoneticPr fontId="4"/>
  </si>
  <si>
    <t>御　見　積　書</t>
    <rPh sb="0" eb="1">
      <t>オ</t>
    </rPh>
    <rPh sb="2" eb="3">
      <t>ケン</t>
    </rPh>
    <rPh sb="4" eb="5">
      <t>セキ</t>
    </rPh>
    <rPh sb="6" eb="7">
      <t>ショ</t>
    </rPh>
    <phoneticPr fontId="4"/>
  </si>
  <si>
    <t>内　訳　明　細　書</t>
    <rPh sb="0" eb="1">
      <t>ナイ</t>
    </rPh>
    <rPh sb="2" eb="3">
      <t>ワケ</t>
    </rPh>
    <rPh sb="4" eb="5">
      <t>メイ</t>
    </rPh>
    <rPh sb="6" eb="7">
      <t>ホソ</t>
    </rPh>
    <rPh sb="8" eb="9">
      <t>ショ</t>
    </rPh>
    <phoneticPr fontId="4"/>
  </si>
  <si>
    <t>業　者　名</t>
    <rPh sb="0" eb="1">
      <t>ゴウ</t>
    </rPh>
    <rPh sb="2" eb="3">
      <t>モノ</t>
    </rPh>
    <rPh sb="4" eb="5">
      <t>メイ</t>
    </rPh>
    <phoneticPr fontId="4"/>
  </si>
  <si>
    <t>下請け</t>
    <rPh sb="0" eb="2">
      <t>シタウ</t>
    </rPh>
    <phoneticPr fontId="4"/>
  </si>
  <si>
    <t>名          　　称</t>
    <rPh sb="0" eb="1">
      <t>ナ</t>
    </rPh>
    <rPh sb="13" eb="14">
      <t>ショウ</t>
    </rPh>
    <phoneticPr fontId="4"/>
  </si>
  <si>
    <t>規 　　    格</t>
    <rPh sb="0" eb="1">
      <t>キ</t>
    </rPh>
    <rPh sb="8" eb="9">
      <t>カク</t>
    </rPh>
    <phoneticPr fontId="4"/>
  </si>
  <si>
    <t>数　量</t>
    <rPh sb="0" eb="1">
      <t>カズ</t>
    </rPh>
    <rPh sb="2" eb="3">
      <t>リョウ</t>
    </rPh>
    <phoneticPr fontId="4"/>
  </si>
  <si>
    <t>単　位</t>
    <rPh sb="0" eb="1">
      <t>タン</t>
    </rPh>
    <rPh sb="2" eb="3">
      <t>クライ</t>
    </rPh>
    <phoneticPr fontId="4"/>
  </si>
  <si>
    <t>単  価</t>
    <rPh sb="0" eb="1">
      <t>タン</t>
    </rPh>
    <rPh sb="3" eb="4">
      <t>アタイ</t>
    </rPh>
    <phoneticPr fontId="4"/>
  </si>
  <si>
    <t>金   額</t>
    <rPh sb="0" eb="1">
      <t>キン</t>
    </rPh>
    <rPh sb="4" eb="5">
      <t>ガク</t>
    </rPh>
    <phoneticPr fontId="4"/>
  </si>
  <si>
    <t>備   考</t>
    <rPh sb="0" eb="1">
      <t>ビ</t>
    </rPh>
    <rPh sb="4" eb="5">
      <t>コウ</t>
    </rPh>
    <phoneticPr fontId="4"/>
  </si>
  <si>
    <t>景観舗装工事</t>
    <rPh sb="0" eb="4">
      <t>ケイカンホソウ</t>
    </rPh>
    <rPh sb="4" eb="6">
      <t>コウジ</t>
    </rPh>
    <phoneticPr fontId="4"/>
  </si>
  <si>
    <t>巾0.55　端部研磨機使用</t>
    <rPh sb="0" eb="1">
      <t>ハバ</t>
    </rPh>
    <rPh sb="6" eb="8">
      <t>タンブ</t>
    </rPh>
    <rPh sb="8" eb="11">
      <t>ケンマキ</t>
    </rPh>
    <rPh sb="11" eb="13">
      <t>シヨウ</t>
    </rPh>
    <phoneticPr fontId="4"/>
  </si>
  <si>
    <t>㎡</t>
    <phoneticPr fontId="4"/>
  </si>
  <si>
    <t>直  接  工  事  費</t>
    <rPh sb="0" eb="1">
      <t>チョク</t>
    </rPh>
    <rPh sb="3" eb="4">
      <t>セッ</t>
    </rPh>
    <rPh sb="6" eb="7">
      <t>コウ</t>
    </rPh>
    <rPh sb="9" eb="10">
      <t>コト</t>
    </rPh>
    <rPh sb="12" eb="13">
      <t>ヒ</t>
    </rPh>
    <phoneticPr fontId="4"/>
  </si>
  <si>
    <t>機  械  回  送  費</t>
    <phoneticPr fontId="4"/>
  </si>
  <si>
    <t>福岡～愛媛　ユニック車　乗用車</t>
    <rPh sb="0" eb="3">
      <t>フクオカカラ</t>
    </rPh>
    <rPh sb="3" eb="5">
      <t>エヒメ</t>
    </rPh>
    <rPh sb="10" eb="11">
      <t>シャ</t>
    </rPh>
    <rPh sb="12" eb="15">
      <t>ジョウヨウシャ</t>
    </rPh>
    <phoneticPr fontId="4"/>
  </si>
  <si>
    <t>往復</t>
    <rPh sb="0" eb="2">
      <t>オウフク</t>
    </rPh>
    <phoneticPr fontId="4"/>
  </si>
  <si>
    <t>諸　　経　　費</t>
    <rPh sb="0" eb="1">
      <t>ショ</t>
    </rPh>
    <rPh sb="3" eb="4">
      <t>ヘ</t>
    </rPh>
    <rPh sb="6" eb="7">
      <t>ヒ</t>
    </rPh>
    <phoneticPr fontId="4"/>
  </si>
  <si>
    <t>宿泊費含む</t>
    <rPh sb="0" eb="4">
      <t>シュクハクヒフク</t>
    </rPh>
    <phoneticPr fontId="4"/>
  </si>
  <si>
    <t>法  定  福  利  費</t>
    <rPh sb="0" eb="1">
      <t>ホウ</t>
    </rPh>
    <rPh sb="3" eb="4">
      <t>サダム</t>
    </rPh>
    <rPh sb="6" eb="7">
      <t>フク</t>
    </rPh>
    <rPh sb="9" eb="10">
      <t>リ</t>
    </rPh>
    <rPh sb="12" eb="13">
      <t>ヒ</t>
    </rPh>
    <phoneticPr fontId="4"/>
  </si>
  <si>
    <t>1人経費込み</t>
    <rPh sb="1" eb="2">
      <t>ニン</t>
    </rPh>
    <rPh sb="2" eb="5">
      <t>ケイヒコ</t>
    </rPh>
    <phoneticPr fontId="4"/>
  </si>
  <si>
    <t>小　　　　　計</t>
    <rPh sb="0" eb="1">
      <t>ショウ</t>
    </rPh>
    <rPh sb="6" eb="7">
      <t>ケイ</t>
    </rPh>
    <phoneticPr fontId="4"/>
  </si>
  <si>
    <t>※雨天の際は施工中止とさせていただきます。</t>
    <rPh sb="1" eb="3">
      <t>ウテン</t>
    </rPh>
    <rPh sb="4" eb="5">
      <t>サイ</t>
    </rPh>
    <rPh sb="6" eb="10">
      <t>セコウチュウシ</t>
    </rPh>
    <phoneticPr fontId="4"/>
  </si>
  <si>
    <t>※研掃ガラの産廃処理費は含まれておりません。</t>
    <rPh sb="1" eb="3">
      <t>ケンソウ</t>
    </rPh>
    <rPh sb="6" eb="11">
      <t>サンパイショリヒ</t>
    </rPh>
    <rPh sb="12" eb="13">
      <t>フク</t>
    </rPh>
    <phoneticPr fontId="4"/>
  </si>
  <si>
    <t>※機械仕上げできない箇所はグラインダー又はJETタガネ(電気)使用いたします。(端部)</t>
    <rPh sb="1" eb="3">
      <t>キカイ</t>
    </rPh>
    <rPh sb="3" eb="5">
      <t>シア</t>
    </rPh>
    <rPh sb="10" eb="12">
      <t>カショ</t>
    </rPh>
    <rPh sb="19" eb="20">
      <t>マタ</t>
    </rPh>
    <rPh sb="28" eb="30">
      <t>デンキ</t>
    </rPh>
    <rPh sb="31" eb="33">
      <t>シヨウ</t>
    </rPh>
    <rPh sb="40" eb="42">
      <t>タンブ</t>
    </rPh>
    <phoneticPr fontId="4"/>
  </si>
  <si>
    <t>研掃工　B工区</t>
    <rPh sb="0" eb="2">
      <t>ケンソウ</t>
    </rPh>
    <rPh sb="2" eb="3">
      <t>コウ</t>
    </rPh>
    <rPh sb="5" eb="7">
      <t>コウクコウク</t>
    </rPh>
    <phoneticPr fontId="4"/>
  </si>
  <si>
    <t>研掃工　C工区</t>
    <rPh sb="0" eb="3">
      <t>ケンソウコウ</t>
    </rPh>
    <rPh sb="5" eb="7">
      <t>コウク</t>
    </rPh>
    <phoneticPr fontId="4"/>
  </si>
  <si>
    <t>研掃工　D工区</t>
    <rPh sb="0" eb="3">
      <t>ケンソウコウ</t>
    </rPh>
    <rPh sb="5" eb="7">
      <t>コウク</t>
    </rPh>
    <phoneticPr fontId="4"/>
  </si>
  <si>
    <t>研掃工　E工区</t>
    <rPh sb="0" eb="3">
      <t>ケンソウコウ</t>
    </rPh>
    <rPh sb="5" eb="7">
      <t>コウク</t>
    </rPh>
    <phoneticPr fontId="4"/>
  </si>
  <si>
    <t>研掃工A～E工区　総計</t>
    <rPh sb="0" eb="3">
      <t>ケンソウコウ</t>
    </rPh>
    <rPh sb="6" eb="8">
      <t>コウク</t>
    </rPh>
    <rPh sb="9" eb="11">
      <t>ソウケイ</t>
    </rPh>
    <phoneticPr fontId="4"/>
  </si>
  <si>
    <t>社会保険料率　　　　　　　　＝15.938％</t>
    <phoneticPr fontId="4"/>
  </si>
  <si>
    <t>研掃工</t>
    <rPh sb="0" eb="2">
      <t>ケンソウ</t>
    </rPh>
    <rPh sb="2" eb="3">
      <t>コウ</t>
    </rPh>
    <phoneticPr fontId="4"/>
  </si>
  <si>
    <t>内訳書別添え</t>
    <rPh sb="0" eb="3">
      <t>ウチワケショ</t>
    </rPh>
    <rPh sb="3" eb="5">
      <t>ベツゾ</t>
    </rPh>
    <phoneticPr fontId="4"/>
  </si>
  <si>
    <t>巾1.0　端部研磨機使用</t>
    <rPh sb="0" eb="1">
      <t>ハバ</t>
    </rPh>
    <rPh sb="5" eb="7">
      <t>タンブ</t>
    </rPh>
    <rPh sb="7" eb="10">
      <t>ケンマキ</t>
    </rPh>
    <rPh sb="10" eb="12">
      <t>シヨウ</t>
    </rPh>
    <phoneticPr fontId="4"/>
  </si>
  <si>
    <t>西九州ニチレキ工事株式会社 長崎営業所</t>
    <rPh sb="0" eb="3">
      <t>ニシキュウシュウ</t>
    </rPh>
    <rPh sb="7" eb="9">
      <t>コウジ</t>
    </rPh>
    <rPh sb="9" eb="13">
      <t>カブシキガイシャ</t>
    </rPh>
    <rPh sb="14" eb="16">
      <t>ナガサキ</t>
    </rPh>
    <rPh sb="16" eb="19">
      <t>エイギョウショ</t>
    </rPh>
    <phoneticPr fontId="4"/>
  </si>
  <si>
    <t>福岡～長崎　ユニック車　乗用車</t>
    <rPh sb="0" eb="3">
      <t>フクオカカラ</t>
    </rPh>
    <rPh sb="3" eb="5">
      <t>ナガサキ</t>
    </rPh>
    <rPh sb="10" eb="11">
      <t>シャ</t>
    </rPh>
    <rPh sb="12" eb="15">
      <t>ジョウヨウシャ</t>
    </rPh>
    <phoneticPr fontId="4"/>
  </si>
  <si>
    <t>昼間施工　１日</t>
    <rPh sb="0" eb="4">
      <t>ヒルマセコウ</t>
    </rPh>
    <rPh sb="6" eb="7">
      <t>ニチ</t>
    </rPh>
    <phoneticPr fontId="4"/>
  </si>
  <si>
    <t>端 数 調 整</t>
    <rPh sb="0" eb="1">
      <t>ハジ</t>
    </rPh>
    <rPh sb="2" eb="3">
      <t>スウ</t>
    </rPh>
    <rPh sb="4" eb="5">
      <t>チョウ</t>
    </rPh>
    <rPh sb="6" eb="7">
      <t>ヒトシ</t>
    </rPh>
    <phoneticPr fontId="4"/>
  </si>
  <si>
    <t>研掃工　１種ケレン</t>
    <rPh sb="0" eb="3">
      <t>ケンソウコウ</t>
    </rPh>
    <phoneticPr fontId="4"/>
  </si>
  <si>
    <t>小値賀地区水産生産基盤整備工事（沖防波堤（Ａ）（改良）２工区）外</t>
    <rPh sb="15" eb="16">
      <t>シュケレ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</si>
</sst>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_ "/>
    <numFmt numFmtId="178" formatCode="#,###"/>
    <numFmt numFmtId="179" formatCode="#,##0.0;[Red]\-#,##0.0"/>
    <numFmt numFmtId="180" formatCode="0.0_ "/>
    <numFmt numFmtId="181" formatCode="&quot;¥&quot;#,###"/>
    <numFmt numFmtId="182" formatCode="&quot;¥&quot;#,###;[Red]#,###"/>
    <numFmt numFmtId="183" formatCode="[$-F800]dddd\,\ mmmm\ dd\,\ yyyy"/>
    <numFmt numFmtId="184" formatCode="yyyy&quot;年&quot;m&quot;月&quot;d&quot;日&quot;;@"/>
    <numFmt numFmtId="185" formatCode="0.0"/>
  </numFmts>
  <fonts count="29">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color theme="1"/>
      <name val="HG丸ｺﾞｼｯｸM-PRO"/>
      <family val="3"/>
      <charset val="128"/>
    </font>
    <font>
      <sz val="6"/>
      <name val="游ゴシック"/>
      <family val="2"/>
      <charset val="128"/>
      <scheme val="minor"/>
    </font>
    <font>
      <sz val="11"/>
      <color rgb="FFFF0000"/>
      <name val="HG丸ｺﾞｼｯｸM-PRO"/>
      <family val="3"/>
      <charset val="128"/>
    </font>
    <font>
      <b/>
      <sz val="11"/>
      <color rgb="FFFF0000"/>
      <name val="HG丸ｺﾞｼｯｸM-PRO"/>
      <family val="3"/>
      <charset val="128"/>
    </font>
    <font>
      <b/>
      <sz val="11"/>
      <color rgb="FF0070C0"/>
      <name val="HG丸ｺﾞｼｯｸM-PRO"/>
      <family val="3"/>
      <charset val="128"/>
    </font>
    <font>
      <b/>
      <sz val="11"/>
      <color theme="1"/>
      <name val="HG丸ｺﾞｼｯｸM-PRO"/>
      <family val="3"/>
      <charset val="128"/>
    </font>
    <font>
      <sz val="11"/>
      <name val="HG丸ｺﾞｼｯｸM-PRO"/>
      <family val="3"/>
      <charset val="128"/>
    </font>
    <font>
      <b/>
      <sz val="12"/>
      <color rgb="FF002060"/>
      <name val="HG丸ｺﾞｼｯｸM-PRO"/>
      <family val="3"/>
      <charset val="128"/>
    </font>
    <font>
      <sz val="11"/>
      <name val="ＭＳ Ｐゴシック"/>
      <family val="3"/>
      <charset val="128"/>
    </font>
    <font>
      <sz val="8"/>
      <name val="HG丸ｺﾞｼｯｸM-PRO"/>
      <family val="3"/>
      <charset val="128"/>
    </font>
    <font>
      <b/>
      <sz val="18"/>
      <color theme="1"/>
      <name val="HG丸ｺﾞｼｯｸM-PRO"/>
      <family val="3"/>
      <charset val="128"/>
    </font>
    <font>
      <sz val="18"/>
      <color theme="1"/>
      <name val="HG丸ｺﾞｼｯｸM-PRO"/>
      <family val="3"/>
      <charset val="128"/>
    </font>
    <font>
      <b/>
      <sz val="22"/>
      <color rgb="FFFF0000"/>
      <name val="HG丸ｺﾞｼｯｸM-PRO"/>
      <family val="3"/>
      <charset val="128"/>
    </font>
    <font>
      <sz val="14"/>
      <name val="HG丸ｺﾞｼｯｸM-PRO"/>
      <family val="3"/>
      <charset val="128"/>
    </font>
    <font>
      <b/>
      <sz val="16"/>
      <color theme="1"/>
      <name val="HG丸ｺﾞｼｯｸM-PRO"/>
      <family val="3"/>
      <charset val="128"/>
    </font>
    <font>
      <b/>
      <i/>
      <u val="double"/>
      <sz val="20"/>
      <color theme="1"/>
      <name val="HG丸ｺﾞｼｯｸM-PRO"/>
      <family val="3"/>
      <charset val="128"/>
    </font>
    <font>
      <b/>
      <i/>
      <u/>
      <sz val="14"/>
      <color theme="1"/>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9.5"/>
      <color theme="1"/>
      <name val="游ゴシック"/>
      <family val="2"/>
      <charset val="128"/>
      <scheme val="minor"/>
    </font>
    <font>
      <sz val="11"/>
      <name val="游ゴシック"/>
      <family val="2"/>
      <charset val="128"/>
      <scheme val="minor"/>
    </font>
    <font>
      <sz val="9.5"/>
      <color rgb="FFFF0000"/>
      <name val="游ゴシック"/>
      <family val="3"/>
      <charset val="128"/>
      <scheme val="minor"/>
    </font>
    <font>
      <sz val="11"/>
      <color rgb="FFFF0000"/>
      <name val="游ゴシック"/>
      <family val="3"/>
      <charset val="128"/>
      <scheme val="minor"/>
    </font>
    <font>
      <sz val="9"/>
      <color theme="1"/>
      <name val="游ゴシック"/>
      <family val="2"/>
      <charset val="128"/>
      <scheme val="minor"/>
    </font>
    <font>
      <sz val="9.5"/>
      <color rgb="FFFF0000"/>
      <name val="游ゴシック"/>
      <family val="2"/>
      <charset val="128"/>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9300"/>
        <bgColor indexed="64"/>
      </patternFill>
    </fill>
  </fills>
  <borders count="72">
    <border>
      <left/>
      <right/>
      <top/>
      <bottom/>
      <diagonal/>
    </border>
    <border>
      <left/>
      <right/>
      <top style="medium">
        <color indexed="64"/>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medium">
        <color indexed="64"/>
      </left>
      <right style="hair">
        <color indexed="64"/>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style="hair">
        <color indexed="64"/>
      </right>
      <top style="hair">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style="hair">
        <color indexed="64"/>
      </right>
      <top style="medium">
        <color indexed="64"/>
      </top>
      <bottom style="double">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hair">
        <color indexed="64"/>
      </bottom>
      <diagonal/>
    </border>
    <border>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cellStyleXfs>
  <cellXfs count="221">
    <xf numFmtId="0" fontId="0" fillId="0" borderId="0" xfId="0">
      <alignment vertical="center"/>
    </xf>
    <xf numFmtId="0" fontId="3" fillId="0" borderId="0" xfId="0" applyFont="1" applyAlignment="1">
      <alignment vertical="center" shrinkToFit="1"/>
    </xf>
    <xf numFmtId="0" fontId="3" fillId="0" borderId="11" xfId="0" applyFont="1" applyBorder="1" applyAlignment="1">
      <alignment vertical="center" shrinkToFit="1"/>
    </xf>
    <xf numFmtId="0" fontId="3" fillId="0" borderId="0" xfId="0" applyFont="1" applyAlignment="1">
      <alignment horizontal="center" vertical="center" shrinkToFit="1"/>
    </xf>
    <xf numFmtId="0" fontId="3" fillId="0" borderId="0" xfId="0" applyFont="1">
      <alignment vertical="center"/>
    </xf>
    <xf numFmtId="0" fontId="12" fillId="0" borderId="0" xfId="3" applyFont="1" applyAlignment="1">
      <alignment vertical="center" wrapText="1"/>
    </xf>
    <xf numFmtId="0" fontId="15" fillId="0" borderId="0" xfId="0" applyFont="1" applyAlignment="1">
      <alignment horizontal="center" vertical="center" shrinkToFit="1"/>
    </xf>
    <xf numFmtId="0" fontId="15" fillId="0" borderId="0" xfId="0" applyFont="1" applyAlignment="1">
      <alignment horizontal="center" vertical="center"/>
    </xf>
    <xf numFmtId="0" fontId="12" fillId="0" borderId="0" xfId="3" applyFont="1" applyAlignment="1">
      <alignment wrapText="1"/>
    </xf>
    <xf numFmtId="0" fontId="3" fillId="0" borderId="30" xfId="0" applyFont="1" applyBorder="1" applyAlignment="1">
      <alignment vertical="center" shrinkToFit="1"/>
    </xf>
    <xf numFmtId="0" fontId="14" fillId="0" borderId="0" xfId="0" applyFont="1" applyAlignment="1">
      <alignment vertical="center" shrinkToFit="1"/>
    </xf>
    <xf numFmtId="0" fontId="16" fillId="0" borderId="0" xfId="3" applyFont="1"/>
    <xf numFmtId="0" fontId="3" fillId="0" borderId="1" xfId="0" applyFont="1" applyBorder="1" applyAlignment="1">
      <alignment vertical="center" shrinkToFit="1"/>
    </xf>
    <xf numFmtId="0" fontId="18" fillId="0" borderId="0" xfId="0" applyFont="1" applyAlignment="1">
      <alignment vertical="center" shrinkToFit="1"/>
    </xf>
    <xf numFmtId="184" fontId="3" fillId="0" borderId="0" xfId="0" applyNumberFormat="1" applyFont="1" applyAlignment="1">
      <alignment vertical="center" shrinkToFit="1"/>
    </xf>
    <xf numFmtId="0" fontId="0" fillId="2" borderId="56" xfId="0" applyFill="1" applyBorder="1" applyAlignment="1">
      <alignment horizontal="center" vertical="center"/>
    </xf>
    <xf numFmtId="0" fontId="0" fillId="2" borderId="57" xfId="0" applyFill="1" applyBorder="1" applyAlignment="1">
      <alignment horizontal="center" vertical="center"/>
    </xf>
    <xf numFmtId="38" fontId="0" fillId="2" borderId="57" xfId="1" applyFont="1" applyFill="1" applyBorder="1" applyAlignment="1">
      <alignment horizontal="center" vertical="center"/>
    </xf>
    <xf numFmtId="0" fontId="0" fillId="2" borderId="58" xfId="0" applyFill="1" applyBorder="1" applyAlignment="1">
      <alignment horizontal="center" vertical="center"/>
    </xf>
    <xf numFmtId="0" fontId="21" fillId="0" borderId="56" xfId="0" applyFont="1" applyBorder="1">
      <alignment vertical="center"/>
    </xf>
    <xf numFmtId="0" fontId="0" fillId="0" borderId="57" xfId="0" applyBorder="1">
      <alignment vertical="center"/>
    </xf>
    <xf numFmtId="38" fontId="0" fillId="0" borderId="57" xfId="1" applyFont="1" applyBorder="1" applyAlignment="1">
      <alignment vertical="center"/>
    </xf>
    <xf numFmtId="0" fontId="0" fillId="0" borderId="58" xfId="0" applyBorder="1">
      <alignment vertical="center"/>
    </xf>
    <xf numFmtId="0" fontId="0" fillId="0" borderId="57" xfId="0" applyBorder="1" applyAlignment="1">
      <alignment horizontal="center" vertical="center"/>
    </xf>
    <xf numFmtId="38" fontId="0" fillId="0" borderId="57" xfId="1" applyFont="1" applyBorder="1" applyAlignment="1">
      <alignment horizontal="center" vertical="center"/>
    </xf>
    <xf numFmtId="38" fontId="0" fillId="0" borderId="57" xfId="1" applyFont="1" applyBorder="1">
      <alignment vertical="center"/>
    </xf>
    <xf numFmtId="0" fontId="22" fillId="0" borderId="56" xfId="0" applyFont="1" applyBorder="1" applyAlignment="1">
      <alignment horizontal="left" vertical="center" indent="1"/>
    </xf>
    <xf numFmtId="0" fontId="23" fillId="0" borderId="59" xfId="0" applyFont="1" applyBorder="1">
      <alignment vertical="center"/>
    </xf>
    <xf numFmtId="185" fontId="0" fillId="0" borderId="57" xfId="0" applyNumberFormat="1" applyBorder="1" applyAlignment="1">
      <alignment horizontal="center" vertical="center"/>
    </xf>
    <xf numFmtId="38" fontId="0" fillId="0" borderId="59" xfId="1" applyFont="1" applyBorder="1" applyAlignment="1">
      <alignment horizontal="center" vertical="center"/>
    </xf>
    <xf numFmtId="38" fontId="24" fillId="0" borderId="57" xfId="1" applyFont="1" applyBorder="1" applyAlignment="1">
      <alignment vertical="center"/>
    </xf>
    <xf numFmtId="38" fontId="0" fillId="0" borderId="0" xfId="1" applyFont="1">
      <alignment vertical="center"/>
    </xf>
    <xf numFmtId="38" fontId="0" fillId="0" borderId="0" xfId="0" applyNumberFormat="1">
      <alignment vertical="center"/>
    </xf>
    <xf numFmtId="0" fontId="25" fillId="0" borderId="59" xfId="0" applyFont="1" applyBorder="1">
      <alignment vertical="center"/>
    </xf>
    <xf numFmtId="185" fontId="26" fillId="0" borderId="57" xfId="0" applyNumberFormat="1" applyFont="1" applyBorder="1" applyAlignment="1">
      <alignment horizontal="center" vertical="center"/>
    </xf>
    <xf numFmtId="38" fontId="26" fillId="0" borderId="57" xfId="1" applyFont="1" applyBorder="1" applyAlignment="1">
      <alignment horizontal="center" vertical="center"/>
    </xf>
    <xf numFmtId="38" fontId="26" fillId="0" borderId="57" xfId="1" applyFont="1" applyBorder="1" applyAlignment="1">
      <alignment vertical="center"/>
    </xf>
    <xf numFmtId="38" fontId="0" fillId="0" borderId="61" xfId="1" applyFont="1" applyBorder="1" applyAlignment="1">
      <alignment horizontal="center" vertical="center"/>
    </xf>
    <xf numFmtId="0" fontId="27" fillId="0" borderId="59" xfId="0" applyFont="1" applyBorder="1">
      <alignment vertical="center"/>
    </xf>
    <xf numFmtId="0" fontId="0" fillId="0" borderId="58" xfId="0" applyBorder="1" applyAlignment="1">
      <alignment horizontal="left" vertical="center"/>
    </xf>
    <xf numFmtId="0" fontId="21" fillId="0" borderId="4" xfId="0" applyFont="1" applyBorder="1" applyAlignment="1">
      <alignment horizontal="center" vertical="center"/>
    </xf>
    <xf numFmtId="0" fontId="0" fillId="0" borderId="3" xfId="0" applyBorder="1">
      <alignment vertical="center"/>
    </xf>
    <xf numFmtId="185" fontId="0" fillId="0" borderId="3" xfId="0" applyNumberFormat="1" applyBorder="1" applyAlignment="1">
      <alignment horizontal="center" vertical="center"/>
    </xf>
    <xf numFmtId="38" fontId="0" fillId="0" borderId="24" xfId="1" applyFont="1" applyBorder="1" applyAlignment="1">
      <alignment horizontal="center" vertical="center"/>
    </xf>
    <xf numFmtId="38" fontId="0" fillId="0" borderId="3" xfId="1" applyFont="1" applyBorder="1" applyAlignment="1">
      <alignment vertical="center"/>
    </xf>
    <xf numFmtId="0" fontId="0" fillId="0" borderId="2" xfId="0" applyBorder="1">
      <alignment vertical="center"/>
    </xf>
    <xf numFmtId="38" fontId="21" fillId="0" borderId="57" xfId="1" applyFont="1" applyBorder="1">
      <alignment vertical="center"/>
    </xf>
    <xf numFmtId="0" fontId="21" fillId="0" borderId="62" xfId="0" applyFont="1" applyBorder="1" applyAlignment="1">
      <alignment vertical="top"/>
    </xf>
    <xf numFmtId="0" fontId="21" fillId="0" borderId="0" xfId="0" applyFont="1" applyAlignment="1">
      <alignment vertical="top"/>
    </xf>
    <xf numFmtId="0" fontId="21" fillId="0" borderId="63" xfId="0" applyFont="1" applyBorder="1" applyAlignment="1">
      <alignment vertical="top"/>
    </xf>
    <xf numFmtId="38" fontId="0" fillId="0" borderId="0" xfId="1" applyFont="1" applyBorder="1">
      <alignment vertical="center"/>
    </xf>
    <xf numFmtId="38" fontId="21" fillId="0" borderId="0" xfId="1" applyFont="1" applyBorder="1">
      <alignment vertical="center"/>
    </xf>
    <xf numFmtId="0" fontId="21" fillId="0" borderId="64" xfId="0" applyFont="1" applyBorder="1" applyAlignment="1">
      <alignment vertical="top"/>
    </xf>
    <xf numFmtId="0" fontId="21" fillId="0" borderId="51" xfId="0" applyFont="1" applyBorder="1" applyAlignment="1">
      <alignment vertical="top"/>
    </xf>
    <xf numFmtId="0" fontId="21" fillId="0" borderId="65" xfId="0" applyFont="1" applyBorder="1" applyAlignment="1">
      <alignment vertical="top"/>
    </xf>
    <xf numFmtId="0" fontId="28" fillId="0" borderId="59" xfId="0" applyFont="1" applyBorder="1">
      <alignment vertical="center"/>
    </xf>
    <xf numFmtId="38" fontId="24" fillId="0" borderId="57" xfId="1" applyFont="1" applyBorder="1">
      <alignment vertical="center"/>
    </xf>
    <xf numFmtId="0" fontId="22" fillId="3" borderId="56" xfId="0" applyFont="1" applyFill="1" applyBorder="1" applyAlignment="1">
      <alignment horizontal="left" vertical="center" indent="1"/>
    </xf>
    <xf numFmtId="0" fontId="28" fillId="3" borderId="67" xfId="0" applyFont="1" applyFill="1" applyBorder="1">
      <alignment vertical="center"/>
    </xf>
    <xf numFmtId="185" fontId="0" fillId="3" borderId="57" xfId="0" applyNumberFormat="1" applyFill="1" applyBorder="1" applyAlignment="1">
      <alignment horizontal="center" vertical="center"/>
    </xf>
    <xf numFmtId="38" fontId="0" fillId="3" borderId="59" xfId="1" applyFont="1" applyFill="1" applyBorder="1" applyAlignment="1">
      <alignment horizontal="center" vertical="center"/>
    </xf>
    <xf numFmtId="38" fontId="24" fillId="3" borderId="57" xfId="1" applyFont="1" applyFill="1" applyBorder="1" applyAlignment="1">
      <alignment vertical="center"/>
    </xf>
    <xf numFmtId="38" fontId="0" fillId="3" borderId="57" xfId="1" applyFont="1" applyFill="1" applyBorder="1" applyAlignment="1">
      <alignment vertical="center"/>
    </xf>
    <xf numFmtId="0" fontId="28" fillId="3" borderId="61" xfId="0" applyFont="1" applyFill="1" applyBorder="1">
      <alignment vertical="center"/>
    </xf>
    <xf numFmtId="0" fontId="0" fillId="3" borderId="60" xfId="0" applyFill="1" applyBorder="1" applyAlignment="1">
      <alignment horizontal="left" vertical="center" indent="1"/>
    </xf>
    <xf numFmtId="0" fontId="23" fillId="3" borderId="59" xfId="0" applyFont="1" applyFill="1" applyBorder="1">
      <alignment vertical="center"/>
    </xf>
    <xf numFmtId="0" fontId="21" fillId="3" borderId="60" xfId="0" applyFont="1" applyFill="1" applyBorder="1" applyAlignment="1">
      <alignment horizontal="left" vertical="center" indent="1"/>
    </xf>
    <xf numFmtId="0" fontId="21" fillId="3" borderId="56" xfId="0" applyFont="1" applyFill="1" applyBorder="1" applyAlignment="1">
      <alignment horizontal="left" vertical="center" indent="1"/>
    </xf>
    <xf numFmtId="0" fontId="21" fillId="3" borderId="56" xfId="0" applyFont="1" applyFill="1" applyBorder="1" applyAlignment="1">
      <alignment horizontal="center" vertical="center"/>
    </xf>
    <xf numFmtId="0" fontId="2" fillId="3" borderId="60" xfId="0" applyFont="1" applyFill="1" applyBorder="1" applyAlignment="1">
      <alignment horizontal="center" vertical="center"/>
    </xf>
    <xf numFmtId="0" fontId="25" fillId="3" borderId="59" xfId="0" applyFont="1" applyFill="1" applyBorder="1">
      <alignment vertical="center"/>
    </xf>
    <xf numFmtId="38" fontId="26" fillId="3" borderId="57" xfId="1" applyFont="1" applyFill="1" applyBorder="1" applyAlignment="1">
      <alignment vertical="center"/>
    </xf>
    <xf numFmtId="0" fontId="27" fillId="3" borderId="59" xfId="0" applyFont="1" applyFill="1" applyBorder="1">
      <alignment vertical="center"/>
    </xf>
    <xf numFmtId="0" fontId="0" fillId="3" borderId="57" xfId="0" applyFill="1" applyBorder="1">
      <alignment vertical="center"/>
    </xf>
    <xf numFmtId="38" fontId="0" fillId="3" borderId="57" xfId="1" applyFont="1" applyFill="1" applyBorder="1" applyAlignment="1">
      <alignment horizontal="center" vertical="center"/>
    </xf>
    <xf numFmtId="0" fontId="21" fillId="0" borderId="57" xfId="0" applyFont="1" applyBorder="1">
      <alignment vertical="center"/>
    </xf>
    <xf numFmtId="0" fontId="22" fillId="0" borderId="57" xfId="0" applyFont="1" applyBorder="1" applyAlignment="1">
      <alignment horizontal="left" vertical="center" indent="1"/>
    </xf>
    <xf numFmtId="0" fontId="0" fillId="0" borderId="59" xfId="0" applyBorder="1" applyAlignment="1">
      <alignment horizontal="left" vertical="center" indent="1"/>
    </xf>
    <xf numFmtId="0" fontId="21" fillId="0" borderId="59" xfId="0" applyFont="1" applyBorder="1" applyAlignment="1">
      <alignment horizontal="left" vertical="center" indent="1"/>
    </xf>
    <xf numFmtId="0" fontId="21" fillId="0" borderId="57" xfId="0" applyFont="1" applyBorder="1" applyAlignment="1">
      <alignment horizontal="center" vertical="center"/>
    </xf>
    <xf numFmtId="0" fontId="2" fillId="0" borderId="59" xfId="0" applyFont="1" applyBorder="1" applyAlignment="1">
      <alignment horizontal="center" vertical="center"/>
    </xf>
    <xf numFmtId="0" fontId="0" fillId="0" borderId="57" xfId="0" applyBorder="1" applyAlignment="1">
      <alignment horizontal="left" vertical="center" indent="1"/>
    </xf>
    <xf numFmtId="38" fontId="24" fillId="0" borderId="57" xfId="1" applyFont="1" applyBorder="1" applyAlignment="1">
      <alignment horizontal="center" vertical="center"/>
    </xf>
    <xf numFmtId="0" fontId="0" fillId="4" borderId="57" xfId="0" applyFill="1" applyBorder="1" applyAlignment="1">
      <alignment horizontal="center" vertical="center"/>
    </xf>
    <xf numFmtId="38" fontId="0" fillId="4" borderId="57" xfId="1" applyFont="1" applyFill="1" applyBorder="1" applyAlignment="1">
      <alignment horizontal="center" vertical="center"/>
    </xf>
    <xf numFmtId="38" fontId="7" fillId="0" borderId="3" xfId="1" applyFont="1" applyBorder="1" applyAlignment="1">
      <alignment horizontal="center" vertical="center" shrinkToFit="1"/>
    </xf>
    <xf numFmtId="176" fontId="7" fillId="0" borderId="3" xfId="2" applyNumberFormat="1" applyFont="1" applyBorder="1" applyAlignment="1">
      <alignment horizontal="center" vertical="center" shrinkToFit="1"/>
    </xf>
    <xf numFmtId="176" fontId="7" fillId="0" borderId="2" xfId="2" applyNumberFormat="1" applyFont="1" applyBorder="1" applyAlignment="1">
      <alignment horizontal="center" vertical="center" shrinkToFit="1"/>
    </xf>
    <xf numFmtId="38" fontId="6" fillId="0" borderId="1" xfId="1" applyFont="1" applyBorder="1" applyAlignment="1">
      <alignment horizontal="right" vertical="center" shrinkToFit="1"/>
    </xf>
    <xf numFmtId="0" fontId="5" fillId="0" borderId="1" xfId="0" applyFont="1" applyBorder="1" applyAlignment="1">
      <alignment horizontal="center" vertical="center" shrinkToFit="1"/>
    </xf>
    <xf numFmtId="176" fontId="5" fillId="0" borderId="0" xfId="2" applyNumberFormat="1" applyFont="1" applyAlignment="1">
      <alignment horizontal="center" vertical="center" shrinkToFit="1"/>
    </xf>
    <xf numFmtId="0" fontId="3" fillId="0" borderId="10" xfId="0" applyFont="1" applyBorder="1" applyAlignment="1">
      <alignment horizontal="center" vertical="center" shrinkToFit="1"/>
    </xf>
    <xf numFmtId="0" fontId="3"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9"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8" xfId="0" applyFont="1" applyBorder="1" applyAlignment="1">
      <alignment horizontal="right" vertical="center" shrinkToFit="1"/>
    </xf>
    <xf numFmtId="177" fontId="3" fillId="0" borderId="9" xfId="0" applyNumberFormat="1" applyFont="1" applyBorder="1" applyAlignment="1">
      <alignment horizontal="right" vertical="center" shrinkToFit="1"/>
    </xf>
    <xf numFmtId="177" fontId="3" fillId="0" borderId="6" xfId="0" applyNumberFormat="1" applyFont="1" applyBorder="1" applyAlignment="1">
      <alignment horizontal="right" vertical="center" shrinkToFit="1"/>
    </xf>
    <xf numFmtId="177" fontId="3" fillId="0" borderId="8" xfId="0" applyNumberFormat="1" applyFont="1" applyBorder="1" applyAlignment="1">
      <alignment horizontal="right" vertical="center" shrinkToFit="1"/>
    </xf>
    <xf numFmtId="177" fontId="8" fillId="0" borderId="9" xfId="0" applyNumberFormat="1" applyFont="1" applyBorder="1" applyAlignment="1">
      <alignment horizontal="right" vertical="center" shrinkToFit="1"/>
    </xf>
    <xf numFmtId="177" fontId="8" fillId="0" borderId="6" xfId="0" applyNumberFormat="1" applyFont="1" applyBorder="1" applyAlignment="1">
      <alignment horizontal="right" vertical="center" shrinkToFit="1"/>
    </xf>
    <xf numFmtId="177" fontId="8" fillId="0" borderId="8" xfId="0" applyNumberFormat="1" applyFont="1" applyBorder="1" applyAlignment="1">
      <alignment horizontal="right" vertical="center" shrinkToFit="1"/>
    </xf>
    <xf numFmtId="0" fontId="3" fillId="0" borderId="7" xfId="0" applyFont="1" applyBorder="1" applyAlignment="1">
      <alignment horizontal="center" vertical="center" shrinkToFit="1"/>
    </xf>
    <xf numFmtId="0" fontId="3" fillId="0" borderId="5" xfId="0" applyFont="1" applyBorder="1" applyAlignment="1">
      <alignment horizontal="center" vertical="center" shrinkToFit="1"/>
    </xf>
    <xf numFmtId="38" fontId="5" fillId="0" borderId="4" xfId="1" applyFont="1" applyBorder="1" applyAlignment="1">
      <alignment horizontal="center" vertical="center" shrinkToFit="1"/>
    </xf>
    <xf numFmtId="38" fontId="5" fillId="0" borderId="3" xfId="1"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4" xfId="0" applyFont="1" applyBorder="1" applyAlignment="1">
      <alignment horizontal="center" vertical="center" shrinkToFit="1"/>
    </xf>
    <xf numFmtId="0" fontId="10" fillId="0" borderId="24" xfId="0" applyFont="1" applyBorder="1" applyAlignment="1">
      <alignment horizontal="center" vertical="center" shrinkToFit="1"/>
    </xf>
    <xf numFmtId="0" fontId="10" fillId="0" borderId="23"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17"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1" xfId="0" applyFont="1" applyBorder="1" applyAlignment="1">
      <alignment horizontal="left" vertical="center" shrinkToFit="1"/>
    </xf>
    <xf numFmtId="179" fontId="3" fillId="0" borderId="17" xfId="1" applyNumberFormat="1" applyFont="1" applyBorder="1" applyAlignment="1">
      <alignment horizontal="center" vertical="center" shrinkToFit="1"/>
    </xf>
    <xf numFmtId="179" fontId="3" fillId="0" borderId="16" xfId="1" applyNumberFormat="1" applyFont="1" applyBorder="1" applyAlignment="1">
      <alignment horizontal="center" vertical="center" shrinkToFit="1"/>
    </xf>
    <xf numFmtId="179" fontId="3" fillId="0" borderId="21" xfId="1" applyNumberFormat="1" applyFont="1" applyBorder="1" applyAlignment="1">
      <alignment horizontal="center" vertical="center" shrinkToFit="1"/>
    </xf>
    <xf numFmtId="0" fontId="3" fillId="0" borderId="17" xfId="0" applyFont="1" applyBorder="1" applyAlignment="1">
      <alignment horizontal="center" vertical="center" shrinkToFit="1"/>
    </xf>
    <xf numFmtId="177" fontId="9" fillId="0" borderId="17" xfId="0" applyNumberFormat="1" applyFont="1" applyBorder="1" applyAlignment="1">
      <alignment horizontal="right" vertical="center" shrinkToFit="1"/>
    </xf>
    <xf numFmtId="177" fontId="9" fillId="0" borderId="16" xfId="0" applyNumberFormat="1" applyFont="1" applyBorder="1" applyAlignment="1">
      <alignment horizontal="right" vertical="center" shrinkToFit="1"/>
    </xf>
    <xf numFmtId="177" fontId="9" fillId="0" borderId="21" xfId="0" applyNumberFormat="1" applyFont="1" applyBorder="1" applyAlignment="1">
      <alignment horizontal="right" vertical="center" shrinkToFit="1"/>
    </xf>
    <xf numFmtId="178" fontId="3" fillId="0" borderId="20" xfId="0" applyNumberFormat="1" applyFont="1" applyBorder="1" applyAlignment="1">
      <alignment horizontal="right" vertical="center" shrinkToFit="1"/>
    </xf>
    <xf numFmtId="178" fontId="3" fillId="0" borderId="19" xfId="0" applyNumberFormat="1" applyFont="1" applyBorder="1" applyAlignment="1">
      <alignment horizontal="right" vertical="center" shrinkToFit="1"/>
    </xf>
    <xf numFmtId="178" fontId="3" fillId="0" borderId="18" xfId="0" applyNumberFormat="1" applyFont="1" applyBorder="1" applyAlignment="1">
      <alignment horizontal="right" vertical="center" shrinkToFit="1"/>
    </xf>
    <xf numFmtId="0" fontId="3" fillId="0" borderId="16"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2"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33" xfId="0" applyFont="1" applyBorder="1" applyAlignment="1">
      <alignment horizontal="left" vertical="center" shrinkToFit="1"/>
    </xf>
    <xf numFmtId="0" fontId="3" fillId="0" borderId="27" xfId="0" applyFont="1" applyBorder="1" applyAlignment="1">
      <alignment horizontal="left" vertical="center" shrinkToFit="1"/>
    </xf>
    <xf numFmtId="0" fontId="3" fillId="0" borderId="32" xfId="0" applyFont="1" applyBorder="1" applyAlignment="1">
      <alignment horizontal="left" vertical="center" shrinkToFit="1"/>
    </xf>
    <xf numFmtId="180" fontId="3" fillId="0" borderId="35" xfId="0" applyNumberFormat="1" applyFont="1" applyBorder="1" applyAlignment="1">
      <alignment horizontal="center" vertical="center" shrinkToFit="1"/>
    </xf>
    <xf numFmtId="180" fontId="3" fillId="0" borderId="36" xfId="0" applyNumberFormat="1" applyFont="1" applyBorder="1" applyAlignment="1">
      <alignment horizontal="center" vertical="center" shrinkToFit="1"/>
    </xf>
    <xf numFmtId="180" fontId="3" fillId="0" borderId="34" xfId="0" applyNumberFormat="1"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4" xfId="0" applyFont="1" applyBorder="1" applyAlignment="1">
      <alignment horizontal="center" vertical="center" shrinkToFit="1"/>
    </xf>
    <xf numFmtId="177" fontId="3" fillId="0" borderId="33" xfId="0" applyNumberFormat="1" applyFont="1" applyBorder="1" applyAlignment="1">
      <alignment horizontal="right" vertical="center" shrinkToFit="1"/>
    </xf>
    <xf numFmtId="177" fontId="3" fillId="0" borderId="27" xfId="0" applyNumberFormat="1" applyFont="1" applyBorder="1" applyAlignment="1">
      <alignment horizontal="right" vertical="center" shrinkToFit="1"/>
    </xf>
    <xf numFmtId="177" fontId="3" fillId="0" borderId="32" xfId="0" applyNumberFormat="1" applyFont="1" applyBorder="1" applyAlignment="1">
      <alignment horizontal="right" vertical="center" shrinkToFit="1"/>
    </xf>
    <xf numFmtId="178" fontId="3" fillId="0" borderId="31" xfId="0" applyNumberFormat="1" applyFont="1" applyBorder="1" applyAlignment="1">
      <alignment horizontal="right" vertical="center" shrinkToFit="1"/>
    </xf>
    <xf numFmtId="178" fontId="3" fillId="0" borderId="30" xfId="0" applyNumberFormat="1" applyFont="1" applyBorder="1" applyAlignment="1">
      <alignment horizontal="right" vertical="center" shrinkToFit="1"/>
    </xf>
    <xf numFmtId="178" fontId="3" fillId="0" borderId="29" xfId="0" applyNumberFormat="1" applyFont="1" applyBorder="1" applyAlignment="1">
      <alignment horizontal="right" vertical="center" shrinkToFit="1"/>
    </xf>
    <xf numFmtId="0" fontId="3" fillId="0" borderId="28"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35"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4" xfId="0" applyFont="1" applyBorder="1" applyAlignment="1">
      <alignment horizontal="left" vertical="center" shrinkToFit="1"/>
    </xf>
    <xf numFmtId="177" fontId="5" fillId="0" borderId="33" xfId="0" applyNumberFormat="1" applyFont="1" applyBorder="1" applyAlignment="1">
      <alignment horizontal="right" vertical="center" shrinkToFit="1"/>
    </xf>
    <xf numFmtId="177" fontId="5" fillId="0" borderId="27" xfId="0" applyNumberFormat="1" applyFont="1" applyBorder="1" applyAlignment="1">
      <alignment horizontal="right" vertical="center" shrinkToFit="1"/>
    </xf>
    <xf numFmtId="177" fontId="5" fillId="0" borderId="32" xfId="0" applyNumberFormat="1" applyFont="1" applyBorder="1" applyAlignment="1">
      <alignment horizontal="right" vertical="center" shrinkToFit="1"/>
    </xf>
    <xf numFmtId="0" fontId="3" fillId="0" borderId="0" xfId="0" applyFont="1" applyAlignment="1">
      <alignment horizontal="center" vertical="center" shrinkToFit="1"/>
    </xf>
    <xf numFmtId="0" fontId="3" fillId="0" borderId="28" xfId="0" applyFont="1" applyBorder="1" applyAlignment="1">
      <alignment horizontal="left" vertical="center" shrinkToFit="1"/>
    </xf>
    <xf numFmtId="179" fontId="3" fillId="0" borderId="33" xfId="1" applyNumberFormat="1" applyFont="1" applyBorder="1" applyAlignment="1">
      <alignment horizontal="center" vertical="center" shrinkToFit="1"/>
    </xf>
    <xf numFmtId="179" fontId="3" fillId="0" borderId="27" xfId="1" applyNumberFormat="1" applyFont="1" applyBorder="1" applyAlignment="1">
      <alignment horizontal="center" vertical="center" shrinkToFit="1"/>
    </xf>
    <xf numFmtId="179" fontId="3" fillId="0" borderId="32" xfId="1" applyNumberFormat="1" applyFont="1" applyBorder="1" applyAlignment="1">
      <alignment horizontal="center" vertical="center" shrinkToFit="1"/>
    </xf>
    <xf numFmtId="0" fontId="3" fillId="0" borderId="33" xfId="0" applyFont="1" applyBorder="1" applyAlignment="1">
      <alignment horizontal="center" vertical="center" shrinkToFit="1"/>
    </xf>
    <xf numFmtId="180" fontId="3" fillId="0" borderId="35" xfId="0" applyNumberFormat="1" applyFont="1" applyBorder="1" applyAlignment="1">
      <alignment horizontal="right" vertical="center" shrinkToFit="1"/>
    </xf>
    <xf numFmtId="180" fontId="3" fillId="0" borderId="36" xfId="0" applyNumberFormat="1" applyFont="1" applyBorder="1" applyAlignment="1">
      <alignment horizontal="right" vertical="center" shrinkToFit="1"/>
    </xf>
    <xf numFmtId="180" fontId="3" fillId="0" borderId="34" xfId="0" applyNumberFormat="1" applyFont="1" applyBorder="1" applyAlignment="1">
      <alignment horizontal="right" vertical="center" shrinkToFit="1"/>
    </xf>
    <xf numFmtId="38" fontId="3" fillId="0" borderId="35" xfId="0" applyNumberFormat="1"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46" xfId="0" applyFont="1" applyBorder="1" applyAlignment="1">
      <alignment horizontal="center" vertical="center" shrinkToFit="1"/>
    </xf>
    <xf numFmtId="0" fontId="3" fillId="0" borderId="45" xfId="0"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1" xfId="0" applyFont="1" applyBorder="1" applyAlignment="1">
      <alignment horizontal="center" vertical="center" shrinkToFit="1"/>
    </xf>
    <xf numFmtId="38" fontId="3" fillId="0" borderId="35" xfId="0" applyNumberFormat="1" applyFont="1" applyBorder="1" applyAlignment="1">
      <alignment vertical="center" shrinkToFit="1"/>
    </xf>
    <xf numFmtId="0" fontId="3" fillId="0" borderId="36" xfId="0" applyFont="1" applyBorder="1" applyAlignment="1">
      <alignment vertical="center" shrinkToFit="1"/>
    </xf>
    <xf numFmtId="0" fontId="3" fillId="0" borderId="34" xfId="0" applyFont="1" applyBorder="1" applyAlignment="1">
      <alignment vertical="center" shrinkToFit="1"/>
    </xf>
    <xf numFmtId="177" fontId="3" fillId="0" borderId="35" xfId="0" applyNumberFormat="1" applyFont="1" applyBorder="1" applyAlignment="1">
      <alignment horizontal="right" vertical="center" shrinkToFit="1"/>
    </xf>
    <xf numFmtId="177" fontId="3" fillId="0" borderId="36" xfId="0" applyNumberFormat="1" applyFont="1" applyBorder="1" applyAlignment="1">
      <alignment horizontal="right" vertical="center" shrinkToFit="1"/>
    </xf>
    <xf numFmtId="177" fontId="3" fillId="0" borderId="34" xfId="0" applyNumberFormat="1" applyFont="1" applyBorder="1" applyAlignment="1">
      <alignment horizontal="right" vertical="center" shrinkToFit="1"/>
    </xf>
    <xf numFmtId="0" fontId="3" fillId="0" borderId="40"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0" xfId="0" applyFont="1" applyBorder="1" applyAlignment="1">
      <alignment horizontal="left" vertical="center" shrinkToFit="1"/>
    </xf>
    <xf numFmtId="0" fontId="3" fillId="0" borderId="51" xfId="0" applyFont="1" applyBorder="1" applyAlignment="1">
      <alignment horizontal="center" vertical="center" shrinkToFit="1"/>
    </xf>
    <xf numFmtId="181" fontId="3" fillId="0" borderId="51" xfId="0" applyNumberFormat="1" applyFont="1" applyBorder="1" applyAlignment="1">
      <alignment horizontal="center" vertical="center" shrinkToFit="1"/>
    </xf>
    <xf numFmtId="182" fontId="3" fillId="0" borderId="50" xfId="0" applyNumberFormat="1" applyFont="1" applyBorder="1" applyAlignment="1">
      <alignment horizontal="center" vertical="center" shrinkToFit="1"/>
    </xf>
    <xf numFmtId="0" fontId="14" fillId="0" borderId="0" xfId="0" applyFont="1" applyAlignment="1">
      <alignment horizontal="center" vertical="center" shrinkToFit="1"/>
    </xf>
    <xf numFmtId="0" fontId="14" fillId="0" borderId="48" xfId="0" applyFont="1" applyBorder="1" applyAlignment="1">
      <alignment horizontal="center" vertical="center" shrinkToFit="1"/>
    </xf>
    <xf numFmtId="181" fontId="13" fillId="0" borderId="49" xfId="0" applyNumberFormat="1" applyFont="1" applyBorder="1" applyAlignment="1">
      <alignment horizontal="center" vertical="center" shrinkToFit="1"/>
    </xf>
    <xf numFmtId="181" fontId="13" fillId="0" borderId="48" xfId="0" applyNumberFormat="1"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0" xfId="0" applyFont="1" applyAlignment="1">
      <alignment horizontal="left" vertical="center" shrinkToFit="1"/>
    </xf>
    <xf numFmtId="184" fontId="8" fillId="0" borderId="0" xfId="0" applyNumberFormat="1" applyFont="1" applyAlignment="1">
      <alignment horizontal="right" vertical="center" shrinkToFit="1"/>
    </xf>
    <xf numFmtId="0" fontId="18" fillId="0" borderId="0" xfId="0" applyFont="1" applyAlignment="1">
      <alignment horizontal="center" vertical="center" shrinkToFit="1"/>
    </xf>
    <xf numFmtId="0" fontId="13" fillId="0" borderId="0" xfId="0" applyFont="1" applyAlignment="1">
      <alignment horizontal="center" shrinkToFit="1"/>
    </xf>
    <xf numFmtId="0" fontId="13" fillId="0" borderId="53" xfId="0" applyFont="1" applyBorder="1" applyAlignment="1">
      <alignment horizontal="center" shrinkToFit="1"/>
    </xf>
    <xf numFmtId="0" fontId="17" fillId="0" borderId="0" xfId="0" applyFont="1" applyAlignment="1">
      <alignment horizontal="center" shrinkToFit="1"/>
    </xf>
    <xf numFmtId="0" fontId="3" fillId="0" borderId="52" xfId="0" applyFont="1" applyBorder="1" applyAlignment="1">
      <alignment horizontal="left" vertical="center" shrinkToFit="1"/>
    </xf>
    <xf numFmtId="183" fontId="3" fillId="0" borderId="30" xfId="0" applyNumberFormat="1" applyFont="1" applyBorder="1" applyAlignment="1">
      <alignment horizontal="center" vertical="center" shrinkToFit="1"/>
    </xf>
    <xf numFmtId="0" fontId="20" fillId="0" borderId="54" xfId="0" applyFont="1" applyBorder="1" applyAlignment="1">
      <alignment horizontal="center" vertical="center"/>
    </xf>
    <xf numFmtId="0" fontId="20" fillId="0" borderId="55" xfId="0" applyFont="1" applyBorder="1" applyAlignment="1">
      <alignment horizontal="center" vertical="center"/>
    </xf>
    <xf numFmtId="0" fontId="19" fillId="0" borderId="70"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71" xfId="0" applyFont="1" applyBorder="1" applyAlignment="1" applyProtection="1">
      <alignment horizontal="center" vertical="center"/>
      <protection locked="0"/>
    </xf>
    <xf numFmtId="0" fontId="0" fillId="0" borderId="66" xfId="0" applyBorder="1" applyAlignment="1">
      <alignment horizontal="center" vertical="center"/>
    </xf>
    <xf numFmtId="0" fontId="0" fillId="0" borderId="68" xfId="0" applyBorder="1" applyAlignment="1">
      <alignment horizontal="center" vertical="center"/>
    </xf>
    <xf numFmtId="0" fontId="28" fillId="3" borderId="59" xfId="0" applyFont="1" applyFill="1" applyBorder="1" applyAlignment="1">
      <alignment horizontal="center" vertical="center" wrapText="1"/>
    </xf>
    <xf numFmtId="0" fontId="28" fillId="3" borderId="61" xfId="0" applyFont="1" applyFill="1" applyBorder="1" applyAlignment="1">
      <alignment horizontal="center" vertical="center" wrapText="1"/>
    </xf>
    <xf numFmtId="0" fontId="0" fillId="0" borderId="69" xfId="0" applyBorder="1" applyAlignment="1">
      <alignment horizontal="center" vertical="center"/>
    </xf>
    <xf numFmtId="3" fontId="22" fillId="0" borderId="57" xfId="0" applyNumberFormat="1" applyFont="1" applyBorder="1" applyAlignment="1">
      <alignment horizontal="center" vertical="center" wrapText="1"/>
    </xf>
    <xf numFmtId="0" fontId="19" fillId="0" borderId="0" xfId="0" applyFont="1" applyAlignment="1" applyProtection="1">
      <alignment horizontal="center" vertical="center"/>
      <protection locked="0"/>
    </xf>
  </cellXfs>
  <cellStyles count="4">
    <cellStyle name="パーセント" xfId="2" builtinId="5"/>
    <cellStyle name="桁区切り" xfId="1" builtinId="6"/>
    <cellStyle name="標準" xfId="0" builtinId="0"/>
    <cellStyle name="標準 2" xfId="3" xr:uid="{2C09D7EE-F3FA-444C-9AB0-9321D97A99E6}"/>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68</xdr:col>
      <xdr:colOff>104775</xdr:colOff>
      <xdr:row>18</xdr:row>
      <xdr:rowOff>50800</xdr:rowOff>
    </xdr:from>
    <xdr:ext cx="3460694" cy="1158241"/>
    <xdr:sp macro="" textlink="">
      <xdr:nvSpPr>
        <xdr:cNvPr id="2" name="テキスト ボックス 1">
          <a:extLst>
            <a:ext uri="{FF2B5EF4-FFF2-40B4-BE49-F238E27FC236}">
              <a16:creationId xmlns:a16="http://schemas.microsoft.com/office/drawing/2014/main" id="{34716239-AA66-435B-BA3E-FF7C4BE23320}"/>
            </a:ext>
          </a:extLst>
        </xdr:cNvPr>
        <xdr:cNvSpPr txBox="1"/>
      </xdr:nvSpPr>
      <xdr:spPr>
        <a:xfrm>
          <a:off x="11763375" y="43370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oneCellAnchor>
    <xdr:from>
      <xdr:col>43</xdr:col>
      <xdr:colOff>122237</xdr:colOff>
      <xdr:row>16</xdr:row>
      <xdr:rowOff>122237</xdr:rowOff>
    </xdr:from>
    <xdr:ext cx="496252" cy="512762"/>
    <xdr:pic>
      <xdr:nvPicPr>
        <xdr:cNvPr id="3" name="図 2">
          <a:extLst>
            <a:ext uri="{FF2B5EF4-FFF2-40B4-BE49-F238E27FC236}">
              <a16:creationId xmlns:a16="http://schemas.microsoft.com/office/drawing/2014/main" id="{9BA3A223-7023-4C87-B5CA-1DF5B0C6AA7D}"/>
            </a:ext>
          </a:extLst>
        </xdr:cNvPr>
        <xdr:cNvPicPr>
          <a:picLocks noChangeAspect="1"/>
        </xdr:cNvPicPr>
      </xdr:nvPicPr>
      <xdr:blipFill>
        <a:blip xmlns:r="http://schemas.openxmlformats.org/officeDocument/2006/relationships" r:embed="rId1" cstate="print"/>
        <a:stretch>
          <a:fillRect/>
        </a:stretch>
      </xdr:blipFill>
      <xdr:spPr>
        <a:xfrm>
          <a:off x="7494587" y="3932237"/>
          <a:ext cx="496252" cy="512762"/>
        </a:xfrm>
        <a:prstGeom prst="rect">
          <a:avLst/>
        </a:prstGeom>
      </xdr:spPr>
    </xdr:pic>
    <xdr:clientData/>
  </xdr:oneCellAnchor>
  <xdr:oneCellAnchor>
    <xdr:from>
      <xdr:col>38</xdr:col>
      <xdr:colOff>152400</xdr:colOff>
      <xdr:row>1</xdr:row>
      <xdr:rowOff>28575</xdr:rowOff>
    </xdr:from>
    <xdr:ext cx="2105025" cy="1102632"/>
    <xdr:pic>
      <xdr:nvPicPr>
        <xdr:cNvPr id="4" name="図 3">
          <a:extLst>
            <a:ext uri="{FF2B5EF4-FFF2-40B4-BE49-F238E27FC236}">
              <a16:creationId xmlns:a16="http://schemas.microsoft.com/office/drawing/2014/main" id="{B5737D93-1797-4C13-9A8A-5C78B6951FB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667500" y="266700"/>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3175</xdr:colOff>
      <xdr:row>10</xdr:row>
      <xdr:rowOff>9525</xdr:rowOff>
    </xdr:from>
    <xdr:ext cx="807044" cy="812800"/>
    <xdr:pic>
      <xdr:nvPicPr>
        <xdr:cNvPr id="5" name="図 4">
          <a:extLst>
            <a:ext uri="{FF2B5EF4-FFF2-40B4-BE49-F238E27FC236}">
              <a16:creationId xmlns:a16="http://schemas.microsoft.com/office/drawing/2014/main" id="{77AA77E7-4E3C-45DD-92EB-1510156DE7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8425" y="2390775"/>
          <a:ext cx="807044" cy="812800"/>
        </a:xfrm>
        <a:prstGeom prst="rect">
          <a:avLst/>
        </a:prstGeom>
      </xdr:spPr>
    </xdr:pic>
    <xdr:clientData/>
  </xdr:oneCellAnchor>
  <xdr:oneCellAnchor>
    <xdr:from>
      <xdr:col>29</xdr:col>
      <xdr:colOff>133350</xdr:colOff>
      <xdr:row>10</xdr:row>
      <xdr:rowOff>76200</xdr:rowOff>
    </xdr:from>
    <xdr:ext cx="3460694" cy="1158241"/>
    <xdr:sp macro="" textlink="">
      <xdr:nvSpPr>
        <xdr:cNvPr id="6" name="テキスト ボックス 5">
          <a:extLst>
            <a:ext uri="{FF2B5EF4-FFF2-40B4-BE49-F238E27FC236}">
              <a16:creationId xmlns:a16="http://schemas.microsoft.com/office/drawing/2014/main" id="{33DD5E21-C2C7-48B3-9293-7B2E827EE343}"/>
            </a:ext>
          </a:extLst>
        </xdr:cNvPr>
        <xdr:cNvSpPr txBox="1"/>
      </xdr:nvSpPr>
      <xdr:spPr>
        <a:xfrm>
          <a:off x="5105400" y="24574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r>
            <a:rPr kumimoji="1" lang="en-US" altLang="ja-JP" sz="1100">
              <a:latin typeface="HG丸ｺﾞｼｯｸM-PRO" panose="020F0600000000000000" pitchFamily="50" charset="-128"/>
              <a:ea typeface="HG丸ｺﾞｼｯｸM-PRO" panose="020F0600000000000000" pitchFamily="50" charset="-128"/>
            </a:rPr>
            <a:t>125015</a:t>
          </a:r>
          <a:r>
            <a:rPr kumimoji="1" lang="ja-JP" altLang="en-US" sz="1100">
              <a:latin typeface="HG丸ｺﾞｼｯｸM-PRO" panose="020F0600000000000000" pitchFamily="50" charset="-128"/>
              <a:ea typeface="HG丸ｺﾞｼｯｸM-PRO" panose="020F0600000000000000" pitchFamily="50" charset="-128"/>
            </a:rPr>
            <a:t>日</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https://d.docs.live.n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6761-F7CA-4114-A197-CF898A2EA6E0}">
  <sheetPr>
    <tabColor rgb="FFFFC000"/>
    <pageSetUpPr fitToPage="1"/>
  </sheetPr>
  <dimension ref="A1:CC39"/>
  <sheetViews>
    <sheetView tabSelected="1" view="pageBreakPreview" zoomScaleNormal="100" zoomScaleSheetLayoutView="100" workbookViewId="0">
      <selection activeCell="BC9" sqref="BC9:CC9"/>
    </sheetView>
  </sheetViews>
  <sheetFormatPr baseColWidth="10" defaultColWidth="2.1640625" defaultRowHeight="14"/>
  <cols>
    <col min="1" max="1" width="2.1640625" style="1"/>
    <col min="2" max="4" width="2.6640625" style="1" customWidth="1"/>
    <col min="5" max="5" width="4.6640625" style="1" customWidth="1"/>
    <col min="6" max="6" width="3" style="1" customWidth="1"/>
    <col min="7" max="15" width="2.1640625" style="1"/>
    <col min="16" max="16" width="3" style="1" customWidth="1"/>
    <col min="17" max="16384" width="2.1640625" style="1"/>
  </cols>
  <sheetData>
    <row r="1" spans="1:81">
      <c r="AS1" s="202">
        <v>46031</v>
      </c>
      <c r="AT1" s="202"/>
      <c r="AU1" s="202"/>
      <c r="AV1" s="202"/>
      <c r="AW1" s="202"/>
      <c r="AX1" s="202"/>
      <c r="AY1" s="202"/>
      <c r="AZ1" s="14"/>
    </row>
    <row r="2" spans="1:81" ht="13.5" customHeight="1">
      <c r="A2" s="203" t="s">
        <v>36</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13"/>
    </row>
    <row r="3" spans="1:81" ht="13.5" customHeight="1">
      <c r="A3" s="203"/>
      <c r="B3" s="203"/>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13"/>
    </row>
    <row r="4" spans="1:81" ht="13.5" customHeight="1">
      <c r="B4" s="204" t="s">
        <v>71</v>
      </c>
      <c r="C4" s="204"/>
      <c r="D4" s="204"/>
      <c r="E4" s="204"/>
      <c r="F4" s="204"/>
      <c r="G4" s="204"/>
      <c r="H4" s="204"/>
      <c r="I4" s="204"/>
      <c r="J4" s="204"/>
      <c r="K4" s="204"/>
      <c r="L4" s="204"/>
      <c r="M4" s="204"/>
      <c r="N4" s="204"/>
      <c r="O4" s="204"/>
      <c r="P4" s="204"/>
      <c r="Q4" s="206" t="s">
        <v>35</v>
      </c>
      <c r="R4" s="206"/>
      <c r="S4" s="206"/>
      <c r="T4" s="206"/>
    </row>
    <row r="5" spans="1:81" ht="14.25" customHeight="1" thickBot="1">
      <c r="B5" s="205"/>
      <c r="C5" s="205"/>
      <c r="D5" s="205"/>
      <c r="E5" s="205"/>
      <c r="F5" s="205"/>
      <c r="G5" s="205"/>
      <c r="H5" s="205"/>
      <c r="I5" s="205"/>
      <c r="J5" s="205"/>
      <c r="K5" s="205"/>
      <c r="L5" s="205"/>
      <c r="M5" s="205"/>
      <c r="N5" s="205"/>
      <c r="O5" s="205"/>
      <c r="P5" s="205"/>
      <c r="Q5" s="206"/>
      <c r="R5" s="206"/>
      <c r="S5" s="206"/>
      <c r="T5" s="206"/>
      <c r="AK5" s="11"/>
      <c r="AL5" s="11"/>
      <c r="AM5" s="11"/>
      <c r="AN5" s="11"/>
      <c r="AO5" s="11"/>
      <c r="AP5" s="11"/>
      <c r="AQ5" s="11"/>
      <c r="AR5" s="11"/>
      <c r="AS5" s="11"/>
      <c r="AT5" s="11"/>
      <c r="AU5" s="11"/>
      <c r="AV5" s="11"/>
      <c r="AW5" s="11"/>
      <c r="AX5" s="11"/>
      <c r="AY5" s="11"/>
    </row>
    <row r="6" spans="1:81" ht="9.75" customHeight="1">
      <c r="B6" s="12"/>
      <c r="C6" s="12"/>
      <c r="D6" s="12"/>
      <c r="E6" s="12"/>
      <c r="F6" s="12"/>
      <c r="G6" s="12"/>
      <c r="H6" s="12"/>
      <c r="I6" s="12"/>
      <c r="J6" s="12"/>
      <c r="K6" s="12"/>
      <c r="L6" s="12"/>
      <c r="M6" s="12"/>
      <c r="N6" s="12"/>
      <c r="O6" s="12"/>
      <c r="P6" s="12"/>
      <c r="Q6" s="12"/>
      <c r="R6" s="12"/>
      <c r="S6" s="12"/>
      <c r="T6" s="12"/>
      <c r="AK6" s="11"/>
      <c r="AL6" s="11"/>
      <c r="AM6" s="11"/>
      <c r="AN6" s="11"/>
      <c r="AO6" s="11"/>
      <c r="AP6" s="11"/>
      <c r="AQ6" s="11"/>
      <c r="AR6" s="11"/>
      <c r="AS6" s="11"/>
      <c r="AT6" s="11"/>
      <c r="AU6" s="11"/>
      <c r="AV6" s="11"/>
      <c r="AW6" s="11"/>
      <c r="AX6" s="11"/>
      <c r="AY6" s="11"/>
      <c r="BP6" s="10"/>
      <c r="BQ6" s="10"/>
      <c r="BR6" s="10"/>
      <c r="BS6" s="10"/>
      <c r="BT6" s="10"/>
      <c r="BU6" s="10"/>
      <c r="BV6" s="10"/>
      <c r="BW6" s="10"/>
      <c r="BX6" s="10"/>
      <c r="BY6" s="10"/>
      <c r="BZ6" s="10"/>
      <c r="CA6" s="10"/>
      <c r="CB6" s="10"/>
      <c r="CC6" s="10"/>
    </row>
    <row r="7" spans="1:81" ht="13.5" customHeight="1">
      <c r="B7" s="207" t="s">
        <v>34</v>
      </c>
      <c r="C7" s="207"/>
      <c r="D7" s="207"/>
      <c r="E7" s="207"/>
      <c r="F7" s="201" t="s">
        <v>76</v>
      </c>
      <c r="G7" s="201"/>
      <c r="H7" s="201"/>
      <c r="I7" s="201"/>
      <c r="J7" s="201"/>
      <c r="K7" s="201"/>
      <c r="L7" s="201"/>
      <c r="M7" s="201"/>
      <c r="N7" s="201"/>
      <c r="O7" s="201"/>
      <c r="P7" s="201"/>
      <c r="Q7" s="201"/>
      <c r="R7" s="201"/>
      <c r="S7" s="201"/>
      <c r="T7" s="201"/>
      <c r="U7" s="201"/>
      <c r="V7" s="201"/>
      <c r="W7" s="201"/>
      <c r="X7" s="201"/>
      <c r="Y7" s="201"/>
      <c r="Z7" s="201"/>
      <c r="AA7" s="201"/>
      <c r="AB7" s="201"/>
      <c r="AC7" s="201"/>
      <c r="AD7" s="201"/>
      <c r="AE7" s="201"/>
      <c r="AF7" s="201"/>
      <c r="AK7" s="8"/>
      <c r="AL7" s="8"/>
      <c r="AM7" s="8"/>
      <c r="AN7" s="8"/>
      <c r="AO7" s="8"/>
      <c r="AP7" s="8"/>
      <c r="AQ7" s="8"/>
      <c r="AR7" s="8"/>
      <c r="AS7" s="8"/>
      <c r="AT7" s="8"/>
      <c r="AU7" s="8"/>
      <c r="AV7" s="8"/>
      <c r="AW7" s="8"/>
      <c r="AX7" s="8"/>
      <c r="AY7" s="8"/>
      <c r="BA7" s="1" t="str">
        <f>F7</f>
        <v>小値賀地区水産生産基盤整備工事（沖防波堤（Ａ）（改良）２工区）外</v>
      </c>
      <c r="BP7" s="10"/>
      <c r="BQ7" s="10"/>
      <c r="BR7" s="10"/>
      <c r="BS7" s="10"/>
      <c r="BT7" s="10"/>
      <c r="BU7" s="10"/>
      <c r="BV7" s="10"/>
      <c r="BW7" s="10"/>
      <c r="BX7" s="10"/>
      <c r="BY7" s="10"/>
      <c r="BZ7" s="10"/>
      <c r="CA7" s="10"/>
      <c r="CB7" s="10"/>
      <c r="CC7" s="10"/>
    </row>
    <row r="8" spans="1:81" ht="13.5" customHeight="1">
      <c r="B8" s="192" t="s">
        <v>33</v>
      </c>
      <c r="C8" s="192"/>
      <c r="D8" s="192"/>
      <c r="E8" s="192"/>
      <c r="F8" s="192"/>
      <c r="G8" s="192"/>
      <c r="H8" s="192"/>
      <c r="I8" s="192"/>
      <c r="J8" s="192"/>
      <c r="K8" s="192"/>
      <c r="L8" s="192"/>
      <c r="M8" s="192"/>
      <c r="N8" s="192"/>
      <c r="O8" s="192"/>
      <c r="P8" s="192"/>
      <c r="Q8" s="192"/>
      <c r="R8" s="192"/>
      <c r="S8" s="192"/>
      <c r="T8" s="192"/>
      <c r="U8" s="192"/>
      <c r="V8" s="192"/>
      <c r="W8" s="192"/>
      <c r="X8" s="192"/>
      <c r="Y8" s="192"/>
      <c r="Z8" s="192"/>
      <c r="AA8" s="7"/>
      <c r="AB8" s="7"/>
      <c r="AC8" s="7"/>
      <c r="AD8" s="7"/>
      <c r="AK8" s="8"/>
      <c r="AL8" s="8"/>
      <c r="AM8" s="8"/>
      <c r="AN8" s="8"/>
      <c r="AO8" s="8"/>
      <c r="AP8" s="8"/>
      <c r="AQ8" s="8"/>
      <c r="AR8" s="8"/>
      <c r="AS8" s="8"/>
      <c r="AT8" s="8"/>
      <c r="AU8" s="8"/>
      <c r="AV8" s="8"/>
      <c r="AW8" s="8"/>
      <c r="AX8" s="8"/>
      <c r="AY8" s="8"/>
    </row>
    <row r="9" spans="1:81" ht="13.5" customHeight="1">
      <c r="B9" s="192" t="s">
        <v>32</v>
      </c>
      <c r="C9" s="192"/>
      <c r="D9" s="192"/>
      <c r="E9" s="192"/>
      <c r="F9" s="9" t="s">
        <v>31</v>
      </c>
      <c r="G9" s="208"/>
      <c r="H9" s="208"/>
      <c r="I9" s="208"/>
      <c r="J9" s="208"/>
      <c r="K9" s="208"/>
      <c r="L9" s="208"/>
      <c r="M9" s="208"/>
      <c r="N9" s="208"/>
      <c r="O9" s="208"/>
      <c r="P9" s="9" t="s">
        <v>30</v>
      </c>
      <c r="Q9" s="208"/>
      <c r="R9" s="208"/>
      <c r="S9" s="208"/>
      <c r="T9" s="208"/>
      <c r="U9" s="208"/>
      <c r="V9" s="208"/>
      <c r="W9" s="208"/>
      <c r="X9" s="208"/>
      <c r="Y9" s="208"/>
      <c r="Z9" s="208"/>
      <c r="AA9" s="7"/>
      <c r="AB9" s="7"/>
      <c r="AC9" s="7"/>
      <c r="AD9" s="7"/>
      <c r="AK9" s="8"/>
      <c r="AL9" s="8"/>
      <c r="AM9" s="8"/>
      <c r="AN9" s="8"/>
      <c r="AO9" s="8"/>
      <c r="AP9" s="8"/>
      <c r="AQ9" s="8"/>
      <c r="AR9" s="8"/>
      <c r="AS9" s="8"/>
      <c r="AT9" s="8"/>
      <c r="AU9" s="8"/>
      <c r="AV9" s="8"/>
      <c r="AW9" s="8"/>
      <c r="AX9" s="8"/>
      <c r="AY9" s="8"/>
      <c r="BC9" s="201"/>
      <c r="BD9" s="201"/>
      <c r="BE9" s="201"/>
      <c r="BF9" s="201"/>
      <c r="BG9" s="201"/>
      <c r="BH9" s="201"/>
      <c r="BI9" s="201"/>
      <c r="BJ9" s="201"/>
      <c r="BK9" s="201"/>
      <c r="BL9" s="201"/>
      <c r="BM9" s="201"/>
      <c r="BN9" s="201"/>
      <c r="BO9" s="201"/>
      <c r="BP9" s="201"/>
      <c r="BQ9" s="201"/>
      <c r="BR9" s="201"/>
      <c r="BS9" s="201"/>
      <c r="BT9" s="201"/>
      <c r="BU9" s="201"/>
      <c r="BV9" s="201"/>
      <c r="BW9" s="201"/>
      <c r="BX9" s="201"/>
      <c r="BY9" s="201"/>
      <c r="BZ9" s="201"/>
      <c r="CA9" s="201"/>
      <c r="CB9" s="201"/>
      <c r="CC9" s="201"/>
    </row>
    <row r="10" spans="1:81" ht="13.5" customHeight="1">
      <c r="B10" s="192" t="s">
        <v>29</v>
      </c>
      <c r="C10" s="192"/>
      <c r="D10" s="192"/>
      <c r="E10" s="192"/>
      <c r="F10" s="192" t="s">
        <v>28</v>
      </c>
      <c r="G10" s="192"/>
      <c r="H10" s="192"/>
      <c r="I10" s="192"/>
      <c r="J10" s="192"/>
      <c r="K10" s="192"/>
      <c r="L10" s="192"/>
      <c r="M10" s="192"/>
      <c r="N10" s="192"/>
      <c r="O10" s="192"/>
      <c r="P10" s="192"/>
      <c r="Q10" s="192"/>
      <c r="R10" s="192"/>
      <c r="S10" s="192"/>
      <c r="T10" s="192"/>
      <c r="U10" s="192"/>
      <c r="V10" s="192"/>
      <c r="W10" s="192"/>
      <c r="X10" s="192"/>
      <c r="Y10" s="192"/>
      <c r="Z10" s="192"/>
      <c r="AA10" s="7"/>
      <c r="AB10" s="7"/>
      <c r="AC10" s="7"/>
      <c r="AD10" s="7"/>
      <c r="AK10" s="5"/>
      <c r="AL10" s="5"/>
      <c r="AM10" s="5"/>
      <c r="AN10" s="5"/>
      <c r="AO10" s="5"/>
      <c r="AP10" s="5"/>
      <c r="AQ10" s="5"/>
      <c r="AR10" s="5"/>
      <c r="AS10" s="5"/>
      <c r="AT10" s="5"/>
      <c r="AU10" s="5"/>
      <c r="AV10" s="5"/>
      <c r="AW10" s="5"/>
      <c r="AX10" s="5"/>
      <c r="AY10" s="5"/>
    </row>
    <row r="11" spans="1:81" ht="13.5" customHeight="1">
      <c r="B11" s="192" t="s">
        <v>27</v>
      </c>
      <c r="C11" s="192"/>
      <c r="D11" s="192"/>
      <c r="E11" s="192"/>
      <c r="F11" s="192" t="s">
        <v>26</v>
      </c>
      <c r="G11" s="192"/>
      <c r="H11" s="192"/>
      <c r="I11" s="192"/>
      <c r="J11" s="192"/>
      <c r="K11" s="192"/>
      <c r="L11" s="192"/>
      <c r="M11" s="192"/>
      <c r="N11" s="192"/>
      <c r="O11" s="192"/>
      <c r="P11" s="192"/>
      <c r="Q11" s="192"/>
      <c r="R11" s="192"/>
      <c r="S11" s="192"/>
      <c r="T11" s="192"/>
      <c r="U11" s="192"/>
      <c r="V11" s="192"/>
      <c r="W11" s="192"/>
      <c r="X11" s="192"/>
      <c r="Y11" s="192"/>
      <c r="Z11" s="192"/>
      <c r="AA11" s="6"/>
      <c r="AB11" s="6"/>
      <c r="AC11" s="6"/>
      <c r="AD11" s="6"/>
      <c r="AK11" s="5"/>
      <c r="AL11" s="5"/>
      <c r="AM11" s="5"/>
      <c r="AN11" s="5"/>
      <c r="AO11" s="5"/>
      <c r="AP11" s="5"/>
      <c r="AQ11" s="5"/>
      <c r="AR11" s="5"/>
      <c r="AS11" s="5"/>
      <c r="AT11" s="5"/>
      <c r="AU11" s="5"/>
      <c r="AV11" s="5"/>
      <c r="AW11" s="5"/>
      <c r="AX11" s="5"/>
      <c r="AY11" s="5"/>
    </row>
    <row r="12" spans="1:81" ht="13.5" customHeight="1">
      <c r="B12" s="192" t="s">
        <v>25</v>
      </c>
      <c r="C12" s="192"/>
      <c r="D12" s="192"/>
      <c r="E12" s="192"/>
      <c r="F12" s="192" t="s">
        <v>24</v>
      </c>
      <c r="G12" s="192"/>
      <c r="H12" s="192"/>
      <c r="I12" s="192"/>
      <c r="J12" s="192"/>
      <c r="K12" s="192"/>
      <c r="L12" s="192"/>
      <c r="M12" s="192"/>
      <c r="N12" s="192"/>
      <c r="O12" s="192"/>
      <c r="P12" s="192"/>
      <c r="Q12" s="192"/>
      <c r="R12" s="192"/>
      <c r="S12" s="192"/>
      <c r="T12" s="192"/>
      <c r="U12" s="192"/>
      <c r="V12" s="192"/>
      <c r="W12" s="192"/>
      <c r="X12" s="192"/>
      <c r="Y12" s="192"/>
      <c r="Z12" s="192"/>
      <c r="AA12" s="6"/>
      <c r="AB12" s="6"/>
      <c r="AC12" s="6"/>
      <c r="AD12" s="6"/>
      <c r="AK12" s="5"/>
      <c r="AL12" s="5"/>
      <c r="AM12" s="5"/>
      <c r="AN12" s="5"/>
      <c r="AO12" s="5"/>
      <c r="AP12" s="5"/>
      <c r="AQ12" s="5"/>
      <c r="AR12" s="5"/>
      <c r="AS12" s="5"/>
      <c r="AT12" s="5"/>
      <c r="AU12" s="5"/>
      <c r="AV12" s="5"/>
      <c r="AW12" s="5"/>
      <c r="AX12" s="5"/>
      <c r="AY12" s="5"/>
    </row>
    <row r="13" spans="1:81" ht="13.5" customHeight="1">
      <c r="B13" s="192" t="s">
        <v>23</v>
      </c>
      <c r="C13" s="192"/>
      <c r="D13" s="192"/>
      <c r="E13" s="192"/>
      <c r="F13" s="192" t="s">
        <v>22</v>
      </c>
      <c r="G13" s="192"/>
      <c r="H13" s="192"/>
      <c r="I13" s="192"/>
      <c r="J13" s="192"/>
      <c r="K13" s="192"/>
      <c r="L13" s="192"/>
      <c r="M13" s="192"/>
      <c r="N13" s="192"/>
      <c r="O13" s="192"/>
      <c r="P13" s="192"/>
      <c r="Q13" s="192"/>
      <c r="R13" s="192"/>
      <c r="S13" s="192"/>
      <c r="T13" s="192"/>
      <c r="U13" s="192"/>
      <c r="V13" s="192"/>
      <c r="W13" s="192"/>
      <c r="X13" s="192"/>
      <c r="Y13" s="192"/>
      <c r="Z13" s="192"/>
      <c r="AA13" s="6"/>
      <c r="AB13" s="6"/>
      <c r="AC13" s="6"/>
      <c r="AD13" s="6"/>
      <c r="AK13" s="5"/>
      <c r="AL13" s="5"/>
      <c r="AM13" s="5"/>
      <c r="AN13" s="5"/>
      <c r="AO13" s="5"/>
      <c r="AP13" s="5"/>
      <c r="AQ13" s="5"/>
      <c r="AR13" s="5"/>
      <c r="AS13" s="5"/>
      <c r="AT13" s="5"/>
      <c r="AU13" s="5"/>
      <c r="AV13" s="5"/>
      <c r="AW13" s="5"/>
      <c r="AX13" s="5"/>
      <c r="AY13" s="5"/>
    </row>
    <row r="14" spans="1:81" ht="13.5" customHeight="1">
      <c r="B14" s="192" t="s">
        <v>21</v>
      </c>
      <c r="C14" s="192"/>
      <c r="D14" s="192"/>
      <c r="E14" s="192"/>
      <c r="F14" s="192" t="s">
        <v>20</v>
      </c>
      <c r="G14" s="192"/>
      <c r="H14" s="192"/>
      <c r="I14" s="192"/>
      <c r="J14" s="192"/>
      <c r="K14" s="192"/>
      <c r="L14" s="192"/>
      <c r="M14" s="192"/>
      <c r="N14" s="192"/>
      <c r="O14" s="192"/>
      <c r="P14" s="192"/>
      <c r="Q14" s="192"/>
      <c r="R14" s="192"/>
      <c r="S14" s="192"/>
      <c r="T14" s="192"/>
      <c r="U14" s="192"/>
      <c r="V14" s="192"/>
      <c r="W14" s="192"/>
      <c r="X14" s="192"/>
      <c r="Y14" s="192"/>
      <c r="Z14" s="192"/>
      <c r="AA14" s="6"/>
      <c r="AB14" s="6"/>
      <c r="AC14" s="6"/>
      <c r="AD14" s="6"/>
      <c r="AK14" s="5"/>
      <c r="AL14" s="5"/>
      <c r="AM14" s="5"/>
      <c r="AN14" s="5"/>
      <c r="AO14" s="5"/>
      <c r="AP14" s="5"/>
      <c r="AQ14" s="5"/>
      <c r="AR14" s="5"/>
      <c r="AS14" s="5"/>
      <c r="AT14" s="5"/>
      <c r="AU14" s="5"/>
      <c r="AV14" s="5"/>
      <c r="AW14" s="5"/>
      <c r="AX14" s="5"/>
      <c r="AY14" s="5"/>
    </row>
    <row r="15" spans="1:81" ht="12" customHeight="1"/>
    <row r="16" spans="1:81" ht="14.25" customHeight="1">
      <c r="B16" s="4" t="s">
        <v>19</v>
      </c>
    </row>
    <row r="17" spans="2:61" ht="14.25" customHeight="1">
      <c r="B17" s="4" t="s">
        <v>18</v>
      </c>
    </row>
    <row r="18" spans="2:61" ht="14.25" customHeight="1">
      <c r="B18" s="4" t="s">
        <v>17</v>
      </c>
    </row>
    <row r="19" spans="2:61" ht="14.25" customHeight="1">
      <c r="B19" s="4"/>
    </row>
    <row r="20" spans="2:61">
      <c r="B20" s="193" t="s">
        <v>16</v>
      </c>
      <c r="C20" s="193"/>
      <c r="D20" s="193"/>
      <c r="E20" s="193"/>
      <c r="F20" s="193"/>
      <c r="G20" s="193"/>
      <c r="H20" s="193"/>
      <c r="I20" s="193"/>
      <c r="J20" s="193"/>
      <c r="K20" s="193"/>
      <c r="L20" s="193"/>
      <c r="M20" s="193"/>
      <c r="N20" s="193"/>
      <c r="O20" s="193"/>
      <c r="P20" s="193"/>
      <c r="Q20" s="193"/>
      <c r="R20" s="193"/>
      <c r="S20" s="193"/>
      <c r="T20" s="193"/>
      <c r="U20" s="194">
        <f>AL38</f>
        <v>420000</v>
      </c>
      <c r="V20" s="194"/>
      <c r="W20" s="194"/>
      <c r="X20" s="194"/>
      <c r="Y20" s="194"/>
      <c r="Z20" s="194"/>
      <c r="AA20" s="194"/>
      <c r="AB20" s="194"/>
      <c r="AC20" s="194"/>
      <c r="AD20" s="194"/>
      <c r="AK20" s="5"/>
      <c r="AL20" s="5"/>
      <c r="AM20" s="5"/>
      <c r="AN20" s="5"/>
      <c r="AO20" s="5"/>
      <c r="AP20" s="5"/>
      <c r="AQ20" s="5"/>
      <c r="AR20" s="5"/>
      <c r="AS20" s="5"/>
      <c r="AT20" s="5"/>
      <c r="AU20" s="5"/>
      <c r="AV20" s="5"/>
      <c r="AW20" s="5"/>
      <c r="AX20" s="5"/>
      <c r="AY20" s="5"/>
    </row>
    <row r="21" spans="2:61">
      <c r="B21" s="193" t="s">
        <v>15</v>
      </c>
      <c r="C21" s="193"/>
      <c r="D21" s="193"/>
      <c r="E21" s="193"/>
      <c r="F21" s="193"/>
      <c r="G21" s="193"/>
      <c r="H21" s="193"/>
      <c r="I21" s="193"/>
      <c r="J21" s="193"/>
      <c r="K21" s="193"/>
      <c r="L21" s="193"/>
      <c r="M21" s="193"/>
      <c r="N21" s="193"/>
      <c r="O21" s="193"/>
      <c r="P21" s="193"/>
      <c r="Q21" s="193"/>
      <c r="R21" s="193"/>
      <c r="S21" s="193"/>
      <c r="T21" s="193"/>
      <c r="U21" s="195">
        <f>U20*0.1</f>
        <v>42000</v>
      </c>
      <c r="V21" s="195"/>
      <c r="W21" s="195"/>
      <c r="X21" s="195"/>
      <c r="Y21" s="195"/>
      <c r="Z21" s="195"/>
      <c r="AA21" s="195"/>
      <c r="AB21" s="195"/>
      <c r="AC21" s="195"/>
      <c r="AD21" s="195"/>
      <c r="AK21" s="4"/>
      <c r="AL21" s="4"/>
      <c r="AM21" s="4"/>
      <c r="AN21" s="4"/>
      <c r="AO21" s="4"/>
      <c r="AP21" s="5"/>
      <c r="AQ21" s="5"/>
      <c r="AR21" s="5"/>
      <c r="AS21" s="5"/>
      <c r="AT21" s="5"/>
      <c r="AU21" s="5"/>
      <c r="AV21" s="5"/>
      <c r="AW21" s="5"/>
      <c r="AX21" s="4"/>
      <c r="AY21" s="4"/>
    </row>
    <row r="22" spans="2:61">
      <c r="B22" s="196" t="s">
        <v>14</v>
      </c>
      <c r="C22" s="196"/>
      <c r="D22" s="196"/>
      <c r="E22" s="196"/>
      <c r="F22" s="196"/>
      <c r="G22" s="196"/>
      <c r="H22" s="196"/>
      <c r="I22" s="196"/>
      <c r="J22" s="196"/>
      <c r="K22" s="196"/>
      <c r="L22" s="196"/>
      <c r="M22" s="196"/>
      <c r="N22" s="196"/>
      <c r="O22" s="196"/>
      <c r="P22" s="196"/>
      <c r="Q22" s="196"/>
      <c r="R22" s="196"/>
      <c r="S22" s="196"/>
      <c r="T22" s="196"/>
      <c r="U22" s="198">
        <f>ROUND(U20*1.1,0)</f>
        <v>462000</v>
      </c>
      <c r="V22" s="198"/>
      <c r="W22" s="198"/>
      <c r="X22" s="198"/>
      <c r="Y22" s="198"/>
      <c r="Z22" s="198"/>
      <c r="AA22" s="198"/>
      <c r="AB22" s="198"/>
      <c r="AC22" s="198"/>
      <c r="AD22" s="198"/>
      <c r="AP22" s="5"/>
      <c r="AQ22" s="5"/>
      <c r="AR22" s="5"/>
      <c r="AS22" s="5"/>
      <c r="AT22" s="5"/>
      <c r="AU22" s="5"/>
      <c r="AV22" s="5"/>
      <c r="AW22" s="5"/>
    </row>
    <row r="23" spans="2:61" ht="15" thickBot="1">
      <c r="B23" s="197"/>
      <c r="C23" s="197"/>
      <c r="D23" s="197"/>
      <c r="E23" s="197"/>
      <c r="F23" s="197"/>
      <c r="G23" s="197"/>
      <c r="H23" s="197"/>
      <c r="I23" s="197"/>
      <c r="J23" s="197"/>
      <c r="K23" s="197"/>
      <c r="L23" s="197"/>
      <c r="M23" s="197"/>
      <c r="N23" s="197"/>
      <c r="O23" s="197"/>
      <c r="P23" s="197"/>
      <c r="Q23" s="197"/>
      <c r="R23" s="197"/>
      <c r="S23" s="197"/>
      <c r="T23" s="197"/>
      <c r="U23" s="199"/>
      <c r="V23" s="199"/>
      <c r="W23" s="199"/>
      <c r="X23" s="199"/>
      <c r="Y23" s="199"/>
      <c r="Z23" s="199"/>
      <c r="AA23" s="199"/>
      <c r="AB23" s="199"/>
      <c r="AC23" s="199"/>
      <c r="AD23" s="199"/>
      <c r="AP23" s="5"/>
      <c r="AQ23" s="5"/>
      <c r="AR23" s="5"/>
      <c r="AS23" s="5"/>
      <c r="AT23" s="5"/>
      <c r="AU23" s="5"/>
      <c r="AV23" s="5"/>
      <c r="AW23" s="5"/>
    </row>
    <row r="24" spans="2:61" ht="14.25" customHeight="1" thickTop="1" thickBot="1">
      <c r="B24" s="4"/>
    </row>
    <row r="25" spans="2:61" ht="15" thickBot="1">
      <c r="B25" s="200" t="s">
        <v>13</v>
      </c>
      <c r="C25" s="178"/>
      <c r="D25" s="177" t="s">
        <v>12</v>
      </c>
      <c r="E25" s="179"/>
      <c r="F25" s="179"/>
      <c r="G25" s="179"/>
      <c r="H25" s="179"/>
      <c r="I25" s="179"/>
      <c r="J25" s="179"/>
      <c r="K25" s="178"/>
      <c r="L25" s="177" t="s">
        <v>11</v>
      </c>
      <c r="M25" s="179"/>
      <c r="N25" s="179"/>
      <c r="O25" s="179"/>
      <c r="P25" s="179"/>
      <c r="Q25" s="179"/>
      <c r="R25" s="179"/>
      <c r="S25" s="179"/>
      <c r="T25" s="179"/>
      <c r="U25" s="179"/>
      <c r="V25" s="179"/>
      <c r="W25" s="179"/>
      <c r="X25" s="179"/>
      <c r="Y25" s="179"/>
      <c r="Z25" s="179"/>
      <c r="AA25" s="179"/>
      <c r="AB25" s="178"/>
      <c r="AC25" s="177" t="s">
        <v>10</v>
      </c>
      <c r="AD25" s="179"/>
      <c r="AE25" s="178"/>
      <c r="AF25" s="177" t="s">
        <v>9</v>
      </c>
      <c r="AG25" s="178"/>
      <c r="AH25" s="177" t="s">
        <v>8</v>
      </c>
      <c r="AI25" s="179"/>
      <c r="AJ25" s="179"/>
      <c r="AK25" s="178"/>
      <c r="AL25" s="177" t="s">
        <v>7</v>
      </c>
      <c r="AM25" s="179"/>
      <c r="AN25" s="179"/>
      <c r="AO25" s="179"/>
      <c r="AP25" s="179"/>
      <c r="AQ25" s="179"/>
      <c r="AR25" s="178"/>
      <c r="AS25" s="180" t="s">
        <v>6</v>
      </c>
      <c r="AT25" s="179"/>
      <c r="AU25" s="179"/>
      <c r="AV25" s="179"/>
      <c r="AW25" s="179"/>
      <c r="AX25" s="179"/>
      <c r="AY25" s="181"/>
    </row>
    <row r="26" spans="2:61" ht="15" thickTop="1">
      <c r="B26" s="182"/>
      <c r="C26" s="150"/>
      <c r="D26" s="183"/>
      <c r="E26" s="184"/>
      <c r="F26" s="184"/>
      <c r="G26" s="184"/>
      <c r="H26" s="184"/>
      <c r="I26" s="184"/>
      <c r="J26" s="184"/>
      <c r="K26" s="185"/>
      <c r="L26" s="160"/>
      <c r="M26" s="161"/>
      <c r="N26" s="161"/>
      <c r="O26" s="161"/>
      <c r="P26" s="161"/>
      <c r="Q26" s="161"/>
      <c r="R26" s="161"/>
      <c r="S26" s="161"/>
      <c r="T26" s="161"/>
      <c r="U26" s="161"/>
      <c r="V26" s="161"/>
      <c r="W26" s="161"/>
      <c r="X26" s="161"/>
      <c r="Y26" s="161"/>
      <c r="Z26" s="161"/>
      <c r="AA26" s="161"/>
      <c r="AB26" s="162"/>
      <c r="AC26" s="172"/>
      <c r="AD26" s="173"/>
      <c r="AE26" s="174"/>
      <c r="AF26" s="149"/>
      <c r="AG26" s="150"/>
      <c r="AH26" s="186"/>
      <c r="AI26" s="187"/>
      <c r="AJ26" s="187"/>
      <c r="AK26" s="188"/>
      <c r="AL26" s="154"/>
      <c r="AM26" s="155"/>
      <c r="AN26" s="155"/>
      <c r="AO26" s="155"/>
      <c r="AP26" s="155"/>
      <c r="AQ26" s="155"/>
      <c r="AR26" s="156"/>
      <c r="AS26" s="189"/>
      <c r="AT26" s="190"/>
      <c r="AU26" s="190"/>
      <c r="AV26" s="190"/>
      <c r="AW26" s="190"/>
      <c r="AX26" s="190"/>
      <c r="AY26" s="191"/>
    </row>
    <row r="27" spans="2:61">
      <c r="B27" s="138">
        <v>1</v>
      </c>
      <c r="C27" s="139"/>
      <c r="D27" s="175" t="s">
        <v>68</v>
      </c>
      <c r="E27" s="176"/>
      <c r="F27" s="176"/>
      <c r="G27" s="176"/>
      <c r="H27" s="176"/>
      <c r="I27" s="176"/>
      <c r="J27" s="176"/>
      <c r="K27" s="150"/>
      <c r="L27" s="160" t="s">
        <v>69</v>
      </c>
      <c r="M27" s="161"/>
      <c r="N27" s="161"/>
      <c r="O27" s="161"/>
      <c r="P27" s="161"/>
      <c r="Q27" s="161"/>
      <c r="R27" s="161"/>
      <c r="S27" s="161"/>
      <c r="T27" s="161"/>
      <c r="U27" s="161"/>
      <c r="V27" s="161"/>
      <c r="W27" s="161"/>
      <c r="X27" s="161"/>
      <c r="Y27" s="161"/>
      <c r="Z27" s="161"/>
      <c r="AA27" s="161"/>
      <c r="AB27" s="162"/>
      <c r="AC27" s="146">
        <v>1</v>
      </c>
      <c r="AD27" s="147"/>
      <c r="AE27" s="148"/>
      <c r="AF27" s="149" t="s">
        <v>5</v>
      </c>
      <c r="AG27" s="150"/>
      <c r="AH27" s="151"/>
      <c r="AI27" s="152"/>
      <c r="AJ27" s="152"/>
      <c r="AK27" s="153"/>
      <c r="AL27" s="154">
        <f>内訳明細書!F21</f>
        <v>420000</v>
      </c>
      <c r="AM27" s="155"/>
      <c r="AN27" s="155"/>
      <c r="AO27" s="155"/>
      <c r="AP27" s="155"/>
      <c r="AQ27" s="155"/>
      <c r="AR27" s="156"/>
      <c r="AS27" s="157"/>
      <c r="AT27" s="158"/>
      <c r="AU27" s="158"/>
      <c r="AV27" s="158"/>
      <c r="AW27" s="158"/>
      <c r="AX27" s="158"/>
      <c r="AY27" s="159"/>
    </row>
    <row r="28" spans="2:61">
      <c r="B28" s="138"/>
      <c r="C28" s="139"/>
      <c r="D28" s="140"/>
      <c r="E28" s="141"/>
      <c r="F28" s="141"/>
      <c r="G28" s="141"/>
      <c r="H28" s="141"/>
      <c r="I28" s="141"/>
      <c r="J28" s="141"/>
      <c r="K28" s="142"/>
      <c r="L28" s="160"/>
      <c r="M28" s="161"/>
      <c r="N28" s="161"/>
      <c r="O28" s="161"/>
      <c r="P28" s="161"/>
      <c r="Q28" s="161"/>
      <c r="R28" s="161"/>
      <c r="S28" s="161"/>
      <c r="T28" s="161"/>
      <c r="U28" s="161"/>
      <c r="V28" s="161"/>
      <c r="W28" s="161"/>
      <c r="X28" s="161"/>
      <c r="Y28" s="161"/>
      <c r="Z28" s="161"/>
      <c r="AA28" s="161"/>
      <c r="AB28" s="162"/>
      <c r="AC28" s="146"/>
      <c r="AD28" s="147"/>
      <c r="AE28" s="148"/>
      <c r="AF28" s="149"/>
      <c r="AG28" s="150"/>
      <c r="AH28" s="151"/>
      <c r="AI28" s="152"/>
      <c r="AJ28" s="152"/>
      <c r="AK28" s="153"/>
      <c r="AL28" s="154"/>
      <c r="AM28" s="155"/>
      <c r="AN28" s="155"/>
      <c r="AO28" s="155"/>
      <c r="AP28" s="155"/>
      <c r="AQ28" s="155"/>
      <c r="AR28" s="156"/>
      <c r="AS28" s="157"/>
      <c r="AT28" s="158"/>
      <c r="AU28" s="158"/>
      <c r="AV28" s="158"/>
      <c r="AW28" s="158"/>
      <c r="AX28" s="158"/>
      <c r="AY28" s="159"/>
    </row>
    <row r="29" spans="2:61">
      <c r="B29" s="138"/>
      <c r="C29" s="139"/>
      <c r="D29" s="140"/>
      <c r="E29" s="141"/>
      <c r="F29" s="141"/>
      <c r="G29" s="141"/>
      <c r="H29" s="141"/>
      <c r="I29" s="141"/>
      <c r="J29" s="141"/>
      <c r="K29" s="142"/>
      <c r="L29" s="160"/>
      <c r="M29" s="161"/>
      <c r="N29" s="161"/>
      <c r="O29" s="161"/>
      <c r="P29" s="161"/>
      <c r="Q29" s="161"/>
      <c r="R29" s="161"/>
      <c r="S29" s="161"/>
      <c r="T29" s="161"/>
      <c r="U29" s="161"/>
      <c r="V29" s="161"/>
      <c r="W29" s="161"/>
      <c r="X29" s="161"/>
      <c r="Y29" s="161"/>
      <c r="Z29" s="161"/>
      <c r="AA29" s="161"/>
      <c r="AB29" s="162"/>
      <c r="AC29" s="146"/>
      <c r="AD29" s="147"/>
      <c r="AE29" s="148"/>
      <c r="AF29" s="149"/>
      <c r="AG29" s="150"/>
      <c r="AH29" s="151"/>
      <c r="AI29" s="152"/>
      <c r="AJ29" s="152"/>
      <c r="AK29" s="153"/>
      <c r="AL29" s="154"/>
      <c r="AM29" s="155"/>
      <c r="AN29" s="155"/>
      <c r="AO29" s="155"/>
      <c r="AP29" s="155"/>
      <c r="AQ29" s="155"/>
      <c r="AR29" s="156"/>
      <c r="AS29" s="157"/>
      <c r="AT29" s="158"/>
      <c r="AU29" s="158"/>
      <c r="AV29" s="158"/>
      <c r="AW29" s="158"/>
      <c r="AX29" s="158"/>
      <c r="AY29" s="159"/>
    </row>
    <row r="30" spans="2:61">
      <c r="B30" s="138"/>
      <c r="C30" s="139"/>
      <c r="D30" s="140"/>
      <c r="E30" s="141"/>
      <c r="F30" s="141"/>
      <c r="G30" s="141"/>
      <c r="H30" s="141"/>
      <c r="I30" s="141"/>
      <c r="J30" s="141"/>
      <c r="K30" s="142"/>
      <c r="L30" s="160"/>
      <c r="M30" s="161"/>
      <c r="N30" s="161"/>
      <c r="O30" s="161"/>
      <c r="P30" s="161"/>
      <c r="Q30" s="161"/>
      <c r="R30" s="161"/>
      <c r="S30" s="161"/>
      <c r="T30" s="161"/>
      <c r="U30" s="161"/>
      <c r="V30" s="161"/>
      <c r="W30" s="161"/>
      <c r="X30" s="161"/>
      <c r="Y30" s="161"/>
      <c r="Z30" s="161"/>
      <c r="AA30" s="161"/>
      <c r="AB30" s="162"/>
      <c r="AC30" s="146"/>
      <c r="AD30" s="147"/>
      <c r="AE30" s="148"/>
      <c r="AF30" s="149"/>
      <c r="AG30" s="150"/>
      <c r="AH30" s="151"/>
      <c r="AI30" s="152"/>
      <c r="AJ30" s="152"/>
      <c r="AK30" s="153"/>
      <c r="AL30" s="154"/>
      <c r="AM30" s="155"/>
      <c r="AN30" s="155"/>
      <c r="AO30" s="155"/>
      <c r="AP30" s="155"/>
      <c r="AQ30" s="155"/>
      <c r="AR30" s="156"/>
      <c r="AS30" s="157"/>
      <c r="AT30" s="158"/>
      <c r="AU30" s="158"/>
      <c r="AV30" s="158"/>
      <c r="AW30" s="158"/>
      <c r="AX30" s="158"/>
      <c r="AY30" s="159"/>
      <c r="BD30" s="166"/>
      <c r="BE30" s="166"/>
      <c r="BF30" s="166"/>
      <c r="BG30" s="166"/>
      <c r="BH30" s="166"/>
      <c r="BI30" s="166"/>
    </row>
    <row r="31" spans="2:61">
      <c r="B31" s="138"/>
      <c r="C31" s="139"/>
      <c r="D31" s="140"/>
      <c r="E31" s="141"/>
      <c r="F31" s="141"/>
      <c r="G31" s="141"/>
      <c r="H31" s="141"/>
      <c r="I31" s="141"/>
      <c r="J31" s="141"/>
      <c r="K31" s="142"/>
      <c r="L31" s="160"/>
      <c r="M31" s="161"/>
      <c r="N31" s="161"/>
      <c r="O31" s="161"/>
      <c r="P31" s="161"/>
      <c r="Q31" s="161"/>
      <c r="R31" s="161"/>
      <c r="S31" s="161"/>
      <c r="T31" s="161"/>
      <c r="U31" s="161"/>
      <c r="V31" s="161"/>
      <c r="W31" s="161"/>
      <c r="X31" s="161"/>
      <c r="Y31" s="161"/>
      <c r="Z31" s="161"/>
      <c r="AA31" s="161"/>
      <c r="AB31" s="162"/>
      <c r="AC31" s="172"/>
      <c r="AD31" s="173"/>
      <c r="AE31" s="174"/>
      <c r="AF31" s="149"/>
      <c r="AG31" s="150"/>
      <c r="AH31" s="151"/>
      <c r="AI31" s="152"/>
      <c r="AJ31" s="152"/>
      <c r="AK31" s="153"/>
      <c r="AL31" s="154"/>
      <c r="AM31" s="155"/>
      <c r="AN31" s="155"/>
      <c r="AO31" s="155"/>
      <c r="AP31" s="155"/>
      <c r="AQ31" s="155"/>
      <c r="AR31" s="156"/>
      <c r="AS31" s="157"/>
      <c r="AT31" s="158"/>
      <c r="AU31" s="158"/>
      <c r="AV31" s="158"/>
      <c r="AW31" s="158"/>
      <c r="AX31" s="158"/>
      <c r="AY31" s="159"/>
      <c r="BD31" s="3"/>
      <c r="BE31" s="3"/>
      <c r="BF31" s="3"/>
      <c r="BG31" s="3"/>
      <c r="BH31" s="3"/>
      <c r="BI31" s="3"/>
    </row>
    <row r="32" spans="2:61">
      <c r="B32" s="138"/>
      <c r="C32" s="139"/>
      <c r="D32" s="140"/>
      <c r="E32" s="141"/>
      <c r="F32" s="141"/>
      <c r="G32" s="141"/>
      <c r="H32" s="141"/>
      <c r="I32" s="141"/>
      <c r="J32" s="141"/>
      <c r="K32" s="142"/>
      <c r="L32" s="160"/>
      <c r="M32" s="161"/>
      <c r="N32" s="161"/>
      <c r="O32" s="161"/>
      <c r="P32" s="161"/>
      <c r="Q32" s="161"/>
      <c r="R32" s="161"/>
      <c r="S32" s="161"/>
      <c r="T32" s="161"/>
      <c r="U32" s="161"/>
      <c r="V32" s="161"/>
      <c r="W32" s="161"/>
      <c r="X32" s="161"/>
      <c r="Y32" s="161"/>
      <c r="Z32" s="161"/>
      <c r="AA32" s="161"/>
      <c r="AB32" s="162"/>
      <c r="AC32" s="146"/>
      <c r="AD32" s="147"/>
      <c r="AE32" s="148"/>
      <c r="AF32" s="149"/>
      <c r="AG32" s="150"/>
      <c r="AH32" s="151"/>
      <c r="AI32" s="152"/>
      <c r="AJ32" s="152"/>
      <c r="AK32" s="153"/>
      <c r="AL32" s="154"/>
      <c r="AM32" s="155"/>
      <c r="AN32" s="155"/>
      <c r="AO32" s="155"/>
      <c r="AP32" s="155"/>
      <c r="AQ32" s="155"/>
      <c r="AR32" s="156"/>
      <c r="AS32" s="157"/>
      <c r="AT32" s="158"/>
      <c r="AU32" s="158"/>
      <c r="AV32" s="158"/>
      <c r="AW32" s="158"/>
      <c r="AX32" s="158"/>
      <c r="AY32" s="159"/>
      <c r="BD32" s="166"/>
      <c r="BE32" s="166"/>
      <c r="BF32" s="166"/>
      <c r="BG32" s="166"/>
      <c r="BH32" s="166"/>
      <c r="BI32" s="166"/>
    </row>
    <row r="33" spans="1:73">
      <c r="B33" s="138"/>
      <c r="C33" s="139"/>
      <c r="D33" s="140"/>
      <c r="E33" s="141"/>
      <c r="F33" s="141"/>
      <c r="G33" s="141"/>
      <c r="H33" s="141"/>
      <c r="I33" s="141"/>
      <c r="J33" s="141"/>
      <c r="K33" s="142"/>
      <c r="L33" s="167"/>
      <c r="M33" s="144"/>
      <c r="N33" s="144"/>
      <c r="O33" s="144"/>
      <c r="P33" s="144"/>
      <c r="Q33" s="144"/>
      <c r="R33" s="144"/>
      <c r="S33" s="144"/>
      <c r="T33" s="144"/>
      <c r="U33" s="144"/>
      <c r="V33" s="144"/>
      <c r="W33" s="144"/>
      <c r="X33" s="144"/>
      <c r="Y33" s="144"/>
      <c r="Z33" s="144"/>
      <c r="AA33" s="144"/>
      <c r="AB33" s="145"/>
      <c r="AC33" s="168"/>
      <c r="AD33" s="169"/>
      <c r="AE33" s="170"/>
      <c r="AF33" s="171"/>
      <c r="AG33" s="139"/>
      <c r="AH33" s="151"/>
      <c r="AI33" s="152"/>
      <c r="AJ33" s="152"/>
      <c r="AK33" s="153"/>
      <c r="AL33" s="154"/>
      <c r="AM33" s="155"/>
      <c r="AN33" s="155"/>
      <c r="AO33" s="155"/>
      <c r="AP33" s="155"/>
      <c r="AQ33" s="155"/>
      <c r="AR33" s="156"/>
      <c r="AS33" s="157"/>
      <c r="AT33" s="158"/>
      <c r="AU33" s="158"/>
      <c r="AV33" s="158"/>
      <c r="AW33" s="158"/>
      <c r="AX33" s="158"/>
      <c r="AY33" s="159"/>
      <c r="BD33" s="166"/>
      <c r="BE33" s="166"/>
      <c r="BF33" s="166"/>
      <c r="BG33" s="166"/>
      <c r="BH33" s="166"/>
      <c r="BI33" s="166"/>
    </row>
    <row r="34" spans="1:73">
      <c r="B34" s="138"/>
      <c r="C34" s="139"/>
      <c r="D34" s="140"/>
      <c r="E34" s="141"/>
      <c r="F34" s="141"/>
      <c r="G34" s="141"/>
      <c r="H34" s="141"/>
      <c r="I34" s="141"/>
      <c r="J34" s="141"/>
      <c r="K34" s="142"/>
      <c r="L34" s="160"/>
      <c r="M34" s="161"/>
      <c r="N34" s="161"/>
      <c r="O34" s="161"/>
      <c r="P34" s="161"/>
      <c r="Q34" s="161"/>
      <c r="R34" s="161"/>
      <c r="S34" s="161"/>
      <c r="T34" s="161"/>
      <c r="U34" s="161"/>
      <c r="V34" s="161"/>
      <c r="W34" s="161"/>
      <c r="X34" s="161"/>
      <c r="Y34" s="161"/>
      <c r="Z34" s="161"/>
      <c r="AA34" s="161"/>
      <c r="AB34" s="162"/>
      <c r="AC34" s="146"/>
      <c r="AD34" s="147"/>
      <c r="AE34" s="148"/>
      <c r="AF34" s="149"/>
      <c r="AG34" s="150"/>
      <c r="AH34" s="151"/>
      <c r="AI34" s="152"/>
      <c r="AJ34" s="152"/>
      <c r="AK34" s="153"/>
      <c r="AL34" s="154"/>
      <c r="AM34" s="155"/>
      <c r="AN34" s="155"/>
      <c r="AO34" s="155"/>
      <c r="AP34" s="155"/>
      <c r="AQ34" s="155"/>
      <c r="AR34" s="156"/>
      <c r="AS34" s="157"/>
      <c r="AT34" s="158"/>
      <c r="AU34" s="158"/>
      <c r="AV34" s="158"/>
      <c r="AW34" s="158"/>
      <c r="AX34" s="158"/>
      <c r="AY34" s="159"/>
      <c r="BD34" s="166"/>
      <c r="BE34" s="166"/>
      <c r="BF34" s="166"/>
      <c r="BG34" s="166"/>
      <c r="BH34" s="166"/>
      <c r="BI34" s="166"/>
    </row>
    <row r="35" spans="1:73">
      <c r="B35" s="138"/>
      <c r="C35" s="139"/>
      <c r="D35" s="140"/>
      <c r="E35" s="141"/>
      <c r="F35" s="141"/>
      <c r="G35" s="141"/>
      <c r="H35" s="141"/>
      <c r="I35" s="141"/>
      <c r="J35" s="141"/>
      <c r="K35" s="142"/>
      <c r="L35" s="143"/>
      <c r="M35" s="144"/>
      <c r="N35" s="144"/>
      <c r="O35" s="144"/>
      <c r="P35" s="144"/>
      <c r="Q35" s="144"/>
      <c r="R35" s="144"/>
      <c r="S35" s="144"/>
      <c r="T35" s="144"/>
      <c r="U35" s="144"/>
      <c r="V35" s="144"/>
      <c r="W35" s="144"/>
      <c r="X35" s="144"/>
      <c r="Y35" s="144"/>
      <c r="Z35" s="144"/>
      <c r="AA35" s="144"/>
      <c r="AB35" s="145"/>
      <c r="AC35" s="146"/>
      <c r="AD35" s="147"/>
      <c r="AE35" s="148"/>
      <c r="AF35" s="149"/>
      <c r="AG35" s="150"/>
      <c r="AH35" s="151"/>
      <c r="AI35" s="152"/>
      <c r="AJ35" s="152"/>
      <c r="AK35" s="153"/>
      <c r="AL35" s="154"/>
      <c r="AM35" s="155"/>
      <c r="AN35" s="155"/>
      <c r="AO35" s="155"/>
      <c r="AP35" s="155"/>
      <c r="AQ35" s="155"/>
      <c r="AR35" s="156"/>
      <c r="AS35" s="157"/>
      <c r="AT35" s="158"/>
      <c r="AU35" s="158"/>
      <c r="AV35" s="158"/>
      <c r="AW35" s="158"/>
      <c r="AX35" s="158"/>
      <c r="AY35" s="159"/>
    </row>
    <row r="36" spans="1:73" ht="16" thickBot="1">
      <c r="B36" s="138"/>
      <c r="C36" s="139"/>
      <c r="D36" s="140"/>
      <c r="E36" s="141"/>
      <c r="F36" s="141"/>
      <c r="G36" s="141"/>
      <c r="H36" s="141"/>
      <c r="I36" s="141"/>
      <c r="J36" s="141"/>
      <c r="K36" s="142"/>
      <c r="L36" s="160"/>
      <c r="M36" s="161"/>
      <c r="N36" s="161"/>
      <c r="O36" s="161"/>
      <c r="P36" s="161"/>
      <c r="Q36" s="161"/>
      <c r="R36" s="161"/>
      <c r="S36" s="161"/>
      <c r="T36" s="161"/>
      <c r="U36" s="161"/>
      <c r="V36" s="161"/>
      <c r="W36" s="161"/>
      <c r="X36" s="161"/>
      <c r="Y36" s="161"/>
      <c r="Z36" s="161"/>
      <c r="AA36" s="161"/>
      <c r="AB36" s="162"/>
      <c r="AC36" s="146"/>
      <c r="AD36" s="147"/>
      <c r="AE36" s="148"/>
      <c r="AF36" s="149"/>
      <c r="AG36" s="150"/>
      <c r="AH36" s="163"/>
      <c r="AI36" s="164"/>
      <c r="AJ36" s="164"/>
      <c r="AK36" s="165"/>
      <c r="AL36" s="154"/>
      <c r="AM36" s="155"/>
      <c r="AN36" s="155"/>
      <c r="AO36" s="155"/>
      <c r="AP36" s="155"/>
      <c r="AQ36" s="155"/>
      <c r="AR36" s="156"/>
      <c r="AS36" s="157"/>
      <c r="AT36" s="158"/>
      <c r="AU36" s="158"/>
      <c r="AV36" s="158"/>
      <c r="AW36" s="158"/>
      <c r="AX36" s="158"/>
      <c r="AY36" s="159"/>
      <c r="BD36" s="111"/>
      <c r="BE36" s="112"/>
      <c r="BF36" s="112"/>
      <c r="BG36" s="112"/>
      <c r="BH36" s="112"/>
      <c r="BI36" s="112"/>
      <c r="BJ36" s="112"/>
      <c r="BK36" s="112"/>
      <c r="BL36" s="112"/>
      <c r="BM36" s="113"/>
      <c r="BN36" s="113"/>
      <c r="BO36" s="113"/>
      <c r="BP36" s="113"/>
      <c r="BQ36" s="113"/>
      <c r="BR36" s="113"/>
      <c r="BS36" s="113"/>
      <c r="BT36" s="113"/>
      <c r="BU36" s="114"/>
    </row>
    <row r="37" spans="1:73" ht="15" thickBot="1">
      <c r="B37" s="115"/>
      <c r="C37" s="116"/>
      <c r="D37" s="117"/>
      <c r="E37" s="118"/>
      <c r="F37" s="118"/>
      <c r="G37" s="118"/>
      <c r="H37" s="118"/>
      <c r="I37" s="118"/>
      <c r="J37" s="118"/>
      <c r="K37" s="119"/>
      <c r="L37" s="120"/>
      <c r="M37" s="121"/>
      <c r="N37" s="121"/>
      <c r="O37" s="121"/>
      <c r="P37" s="121"/>
      <c r="Q37" s="121"/>
      <c r="R37" s="121"/>
      <c r="S37" s="121"/>
      <c r="T37" s="121"/>
      <c r="U37" s="121"/>
      <c r="V37" s="121"/>
      <c r="W37" s="121"/>
      <c r="X37" s="121"/>
      <c r="Y37" s="121"/>
      <c r="Z37" s="121"/>
      <c r="AA37" s="121"/>
      <c r="AB37" s="122"/>
      <c r="AC37" s="123"/>
      <c r="AD37" s="124"/>
      <c r="AE37" s="125"/>
      <c r="AF37" s="126"/>
      <c r="AG37" s="116"/>
      <c r="AH37" s="127"/>
      <c r="AI37" s="128"/>
      <c r="AJ37" s="128"/>
      <c r="AK37" s="129"/>
      <c r="AL37" s="130"/>
      <c r="AM37" s="131"/>
      <c r="AN37" s="131"/>
      <c r="AO37" s="131"/>
      <c r="AP37" s="131"/>
      <c r="AQ37" s="131"/>
      <c r="AR37" s="132"/>
      <c r="AS37" s="126"/>
      <c r="AT37" s="133"/>
      <c r="AU37" s="133"/>
      <c r="AV37" s="133"/>
      <c r="AW37" s="133"/>
      <c r="AX37" s="133"/>
      <c r="AY37" s="134"/>
      <c r="BD37" s="135" t="s">
        <v>4</v>
      </c>
      <c r="BE37" s="136"/>
      <c r="BF37" s="136"/>
      <c r="BG37" s="136"/>
      <c r="BH37" s="136"/>
      <c r="BI37" s="136"/>
      <c r="BJ37" s="136" t="s">
        <v>3</v>
      </c>
      <c r="BK37" s="136"/>
      <c r="BL37" s="136"/>
      <c r="BM37" s="136"/>
      <c r="BN37" s="136"/>
      <c r="BO37" s="136"/>
      <c r="BP37" s="136" t="s">
        <v>2</v>
      </c>
      <c r="BQ37" s="136"/>
      <c r="BR37" s="136"/>
      <c r="BS37" s="136"/>
      <c r="BT37" s="136"/>
      <c r="BU37" s="137"/>
    </row>
    <row r="38" spans="1:73" ht="16" thickTop="1" thickBot="1">
      <c r="A38" s="2"/>
      <c r="B38" s="91"/>
      <c r="C38" s="92"/>
      <c r="D38" s="93" t="s">
        <v>1</v>
      </c>
      <c r="E38" s="94"/>
      <c r="F38" s="94"/>
      <c r="G38" s="94"/>
      <c r="H38" s="94"/>
      <c r="I38" s="94"/>
      <c r="J38" s="94"/>
      <c r="K38" s="95"/>
      <c r="L38" s="96"/>
      <c r="M38" s="97"/>
      <c r="N38" s="97"/>
      <c r="O38" s="97"/>
      <c r="P38" s="97"/>
      <c r="Q38" s="97"/>
      <c r="R38" s="97"/>
      <c r="S38" s="97"/>
      <c r="T38" s="97"/>
      <c r="U38" s="97"/>
      <c r="V38" s="97"/>
      <c r="W38" s="97"/>
      <c r="X38" s="97"/>
      <c r="Y38" s="97"/>
      <c r="Z38" s="97"/>
      <c r="AA38" s="97"/>
      <c r="AB38" s="92"/>
      <c r="AC38" s="98"/>
      <c r="AD38" s="99"/>
      <c r="AE38" s="100"/>
      <c r="AF38" s="96"/>
      <c r="AG38" s="92"/>
      <c r="AH38" s="101"/>
      <c r="AI38" s="102"/>
      <c r="AJ38" s="102"/>
      <c r="AK38" s="103"/>
      <c r="AL38" s="104">
        <f>SUM(AL26:AR37)</f>
        <v>420000</v>
      </c>
      <c r="AM38" s="105"/>
      <c r="AN38" s="105"/>
      <c r="AO38" s="105"/>
      <c r="AP38" s="105"/>
      <c r="AQ38" s="105"/>
      <c r="AR38" s="106"/>
      <c r="AS38" s="107"/>
      <c r="AT38" s="97"/>
      <c r="AU38" s="97"/>
      <c r="AV38" s="97"/>
      <c r="AW38" s="97"/>
      <c r="AX38" s="97"/>
      <c r="AY38" s="108"/>
      <c r="BD38" s="109" t="e">
        <f>'[2]WJハツリ～床板補修～WJ研掃'!L25</f>
        <v>#DIV/0!</v>
      </c>
      <c r="BE38" s="110"/>
      <c r="BF38" s="110"/>
      <c r="BG38" s="110"/>
      <c r="BH38" s="110"/>
      <c r="BI38" s="110"/>
      <c r="BJ38" s="85" t="e">
        <f>AL38-BD38</f>
        <v>#DIV/0!</v>
      </c>
      <c r="BK38" s="85"/>
      <c r="BL38" s="85"/>
      <c r="BM38" s="85"/>
      <c r="BN38" s="85"/>
      <c r="BO38" s="85"/>
      <c r="BP38" s="86" t="e">
        <f>BD38/AL38</f>
        <v>#DIV/0!</v>
      </c>
      <c r="BQ38" s="86"/>
      <c r="BR38" s="86"/>
      <c r="BS38" s="86"/>
      <c r="BT38" s="86"/>
      <c r="BU38" s="87"/>
    </row>
    <row r="39" spans="1:73" ht="18.75" customHeight="1">
      <c r="AL39" s="88"/>
      <c r="AM39" s="88"/>
      <c r="AN39" s="88"/>
      <c r="AO39" s="88"/>
      <c r="AP39" s="88"/>
      <c r="AQ39" s="88"/>
      <c r="AR39" s="88"/>
      <c r="AS39" s="89" t="s">
        <v>0</v>
      </c>
      <c r="AT39" s="89"/>
      <c r="AU39" s="89"/>
      <c r="AV39" s="89"/>
      <c r="AW39" s="89"/>
      <c r="AX39" s="89"/>
      <c r="AY39" s="89"/>
      <c r="AZ39" s="90" t="e">
        <f>BD38/AL39</f>
        <v>#DIV/0!</v>
      </c>
      <c r="BA39" s="90"/>
      <c r="BB39" s="90"/>
      <c r="BC39" s="90"/>
    </row>
  </sheetData>
  <mergeCells count="153">
    <mergeCell ref="AS1:AY1"/>
    <mergeCell ref="A2:AY3"/>
    <mergeCell ref="B4:P5"/>
    <mergeCell ref="Q4:T5"/>
    <mergeCell ref="B7:E7"/>
    <mergeCell ref="F7:AF7"/>
    <mergeCell ref="B8:E8"/>
    <mergeCell ref="F8:Z8"/>
    <mergeCell ref="B9:E9"/>
    <mergeCell ref="G9:O9"/>
    <mergeCell ref="Q9:Z9"/>
    <mergeCell ref="BC9:CC9"/>
    <mergeCell ref="B10:E10"/>
    <mergeCell ref="F10:Z10"/>
    <mergeCell ref="B11:E11"/>
    <mergeCell ref="F11:Z11"/>
    <mergeCell ref="B12:E12"/>
    <mergeCell ref="F12:Z12"/>
    <mergeCell ref="B13:E13"/>
    <mergeCell ref="F13:Z13"/>
    <mergeCell ref="B14:E14"/>
    <mergeCell ref="F14:Z14"/>
    <mergeCell ref="B20:T20"/>
    <mergeCell ref="U20:AD20"/>
    <mergeCell ref="B21:T21"/>
    <mergeCell ref="U21:AD21"/>
    <mergeCell ref="B22:T23"/>
    <mergeCell ref="U22:AD23"/>
    <mergeCell ref="B25:C25"/>
    <mergeCell ref="D25:K25"/>
    <mergeCell ref="L25:AB25"/>
    <mergeCell ref="AC25:AE25"/>
    <mergeCell ref="AF25:AG25"/>
    <mergeCell ref="AH25:AK25"/>
    <mergeCell ref="AL25:AR25"/>
    <mergeCell ref="AS25:AY25"/>
    <mergeCell ref="B26:C26"/>
    <mergeCell ref="D26:K26"/>
    <mergeCell ref="L26:AB26"/>
    <mergeCell ref="AC26:AE26"/>
    <mergeCell ref="AF26:AG26"/>
    <mergeCell ref="AH26:AK26"/>
    <mergeCell ref="AL26:AR26"/>
    <mergeCell ref="AS26:AY26"/>
    <mergeCell ref="B27:C27"/>
    <mergeCell ref="D27:K27"/>
    <mergeCell ref="L27:AB27"/>
    <mergeCell ref="AC27:AE27"/>
    <mergeCell ref="AF27:AG27"/>
    <mergeCell ref="AH27:AK27"/>
    <mergeCell ref="AL27:AR27"/>
    <mergeCell ref="AS27:AY27"/>
    <mergeCell ref="B28:C28"/>
    <mergeCell ref="D28:K28"/>
    <mergeCell ref="L28:AB28"/>
    <mergeCell ref="AC28:AE28"/>
    <mergeCell ref="AF28:AG28"/>
    <mergeCell ref="AH28:AK28"/>
    <mergeCell ref="AL28:AR28"/>
    <mergeCell ref="AS28:AY28"/>
    <mergeCell ref="BD30:BI30"/>
    <mergeCell ref="B29:C29"/>
    <mergeCell ref="D29:K29"/>
    <mergeCell ref="L29:AB29"/>
    <mergeCell ref="AC29:AE29"/>
    <mergeCell ref="AF29:AG29"/>
    <mergeCell ref="AH29:AK29"/>
    <mergeCell ref="AL29:AR29"/>
    <mergeCell ref="AS29:AY29"/>
    <mergeCell ref="B30:C30"/>
    <mergeCell ref="D30:K30"/>
    <mergeCell ref="L30:AB30"/>
    <mergeCell ref="AC30:AE30"/>
    <mergeCell ref="AF30:AG30"/>
    <mergeCell ref="AH30:AK30"/>
    <mergeCell ref="AL30:AR30"/>
    <mergeCell ref="AS30:AY30"/>
    <mergeCell ref="B31:C31"/>
    <mergeCell ref="D31:K31"/>
    <mergeCell ref="L31:AB31"/>
    <mergeCell ref="AC31:AE31"/>
    <mergeCell ref="AF31:AG31"/>
    <mergeCell ref="AH31:AK31"/>
    <mergeCell ref="AL31:AR31"/>
    <mergeCell ref="AS31:AY31"/>
    <mergeCell ref="B32:C32"/>
    <mergeCell ref="D32:K32"/>
    <mergeCell ref="L32:AB32"/>
    <mergeCell ref="AC32:AE32"/>
    <mergeCell ref="AF32:AG32"/>
    <mergeCell ref="AH32:AK32"/>
    <mergeCell ref="AL32:AR32"/>
    <mergeCell ref="AS32:AY32"/>
    <mergeCell ref="BD32:BI34"/>
    <mergeCell ref="B33:C33"/>
    <mergeCell ref="D33:K33"/>
    <mergeCell ref="L33:AB33"/>
    <mergeCell ref="AC33:AE33"/>
    <mergeCell ref="AF33:AG33"/>
    <mergeCell ref="AH33:AK33"/>
    <mergeCell ref="AL33:AR33"/>
    <mergeCell ref="AS33:AY33"/>
    <mergeCell ref="B34:C34"/>
    <mergeCell ref="D34:K34"/>
    <mergeCell ref="L34:AB34"/>
    <mergeCell ref="AC34:AE34"/>
    <mergeCell ref="AF34:AG34"/>
    <mergeCell ref="AH34:AK34"/>
    <mergeCell ref="AL34:AR34"/>
    <mergeCell ref="AS34:AY34"/>
    <mergeCell ref="B35:C35"/>
    <mergeCell ref="D35:K35"/>
    <mergeCell ref="L35:AB35"/>
    <mergeCell ref="AC35:AE35"/>
    <mergeCell ref="AF35:AG35"/>
    <mergeCell ref="AH35:AK35"/>
    <mergeCell ref="AL35:AR35"/>
    <mergeCell ref="AS35:AY35"/>
    <mergeCell ref="B36:C36"/>
    <mergeCell ref="D36:K36"/>
    <mergeCell ref="L36:AB36"/>
    <mergeCell ref="AC36:AE36"/>
    <mergeCell ref="AF36:AG36"/>
    <mergeCell ref="AH36:AK36"/>
    <mergeCell ref="AL36:AR36"/>
    <mergeCell ref="AS36:AY36"/>
    <mergeCell ref="BD36:BL36"/>
    <mergeCell ref="BM36:BU36"/>
    <mergeCell ref="B37:C37"/>
    <mergeCell ref="D37:K37"/>
    <mergeCell ref="L37:AB37"/>
    <mergeCell ref="AC37:AE37"/>
    <mergeCell ref="AF37:AG37"/>
    <mergeCell ref="AH37:AK37"/>
    <mergeCell ref="AL37:AR37"/>
    <mergeCell ref="AS37:AY37"/>
    <mergeCell ref="BD37:BI37"/>
    <mergeCell ref="BJ37:BO37"/>
    <mergeCell ref="BP37:BU37"/>
    <mergeCell ref="BJ38:BO38"/>
    <mergeCell ref="BP38:BU38"/>
    <mergeCell ref="AL39:AR39"/>
    <mergeCell ref="AS39:AY39"/>
    <mergeCell ref="AZ39:BC39"/>
    <mergeCell ref="B38:C38"/>
    <mergeCell ref="D38:K38"/>
    <mergeCell ref="L38:AB38"/>
    <mergeCell ref="AC38:AE38"/>
    <mergeCell ref="AF38:AG38"/>
    <mergeCell ref="AH38:AK38"/>
    <mergeCell ref="AL38:AR38"/>
    <mergeCell ref="AS38:AY38"/>
    <mergeCell ref="BD38:BI38"/>
  </mergeCells>
  <phoneticPr fontId="4"/>
  <printOptions horizontalCentered="1" verticalCentered="1"/>
  <pageMargins left="0.70866141732283472" right="0.51181102362204722" top="0.55118110236220474" bottom="0.55118110236220474" header="0.31496062992125984" footer="0.31496062992125984"/>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E94C-C331-433F-BA21-68F6479A7003}">
  <sheetPr>
    <pageSetUpPr fitToPage="1"/>
  </sheetPr>
  <dimension ref="A1:O49"/>
  <sheetViews>
    <sheetView view="pageBreakPreview" zoomScale="85" zoomScaleNormal="100" zoomScaleSheetLayoutView="85" workbookViewId="0">
      <selection activeCell="BC9" sqref="BC9:CC9"/>
    </sheetView>
  </sheetViews>
  <sheetFormatPr baseColWidth="10" defaultColWidth="8.83203125" defaultRowHeight="18"/>
  <cols>
    <col min="1" max="1" width="36.83203125" customWidth="1"/>
    <col min="2" max="2" width="23.6640625" customWidth="1"/>
    <col min="3" max="3" width="12.5" customWidth="1"/>
    <col min="4" max="4" width="8.1640625" style="31" customWidth="1"/>
    <col min="5" max="5" width="15.83203125" style="31" customWidth="1"/>
    <col min="6" max="6" width="23" style="31" customWidth="1"/>
    <col min="7" max="7" width="26.33203125" customWidth="1"/>
    <col min="8" max="8" width="4.6640625" customWidth="1"/>
    <col min="9" max="9" width="12.5" customWidth="1"/>
    <col min="10" max="10" width="12" style="31" customWidth="1"/>
    <col min="11" max="12" width="15.83203125" style="31" customWidth="1"/>
    <col min="13" max="13" width="9.83203125" bestFit="1" customWidth="1"/>
    <col min="15" max="15" width="9.83203125" bestFit="1" customWidth="1"/>
  </cols>
  <sheetData>
    <row r="1" spans="1:15" ht="26" thickTop="1" thickBot="1">
      <c r="A1" s="220" t="s">
        <v>37</v>
      </c>
      <c r="B1" s="220"/>
      <c r="C1" s="220"/>
      <c r="D1" s="220"/>
      <c r="E1" s="220"/>
      <c r="F1" s="220"/>
      <c r="G1" s="220"/>
      <c r="I1" s="209" t="s">
        <v>38</v>
      </c>
      <c r="J1" s="210"/>
      <c r="K1" s="209" t="s">
        <v>39</v>
      </c>
      <c r="L1" s="210"/>
    </row>
    <row r="2" spans="1:15" ht="23" customHeight="1" thickTop="1">
      <c r="A2" s="83" t="s">
        <v>40</v>
      </c>
      <c r="B2" s="83" t="s">
        <v>41</v>
      </c>
      <c r="C2" s="83" t="s">
        <v>42</v>
      </c>
      <c r="D2" s="84" t="s">
        <v>43</v>
      </c>
      <c r="E2" s="84" t="s">
        <v>44</v>
      </c>
      <c r="F2" s="84" t="s">
        <v>45</v>
      </c>
      <c r="G2" s="83" t="s">
        <v>46</v>
      </c>
      <c r="I2" s="16"/>
      <c r="J2" s="17"/>
      <c r="K2" s="17"/>
      <c r="L2" s="17" t="s">
        <v>45</v>
      </c>
    </row>
    <row r="3" spans="1:15" ht="23.5" customHeight="1">
      <c r="A3" s="75" t="s">
        <v>47</v>
      </c>
      <c r="B3" s="20"/>
      <c r="C3" s="20"/>
      <c r="D3" s="21"/>
      <c r="E3" s="21"/>
      <c r="F3" s="21"/>
      <c r="G3" s="20"/>
      <c r="I3" s="23"/>
      <c r="J3" s="24"/>
      <c r="K3" s="25"/>
      <c r="L3" s="25"/>
    </row>
    <row r="4" spans="1:15" ht="23.5" customHeight="1">
      <c r="A4" s="76"/>
      <c r="B4" s="27"/>
      <c r="C4" s="28"/>
      <c r="D4" s="29"/>
      <c r="E4" s="30"/>
      <c r="F4" s="21"/>
      <c r="G4" s="20"/>
      <c r="I4" s="28"/>
      <c r="J4" s="29"/>
      <c r="K4" s="25"/>
      <c r="L4" s="25"/>
    </row>
    <row r="5" spans="1:15" ht="23.5" customHeight="1">
      <c r="A5" s="76" t="s">
        <v>75</v>
      </c>
      <c r="B5" s="27" t="s">
        <v>70</v>
      </c>
      <c r="C5" s="30">
        <v>55</v>
      </c>
      <c r="D5" s="29" t="s">
        <v>49</v>
      </c>
      <c r="E5" s="82">
        <v>5500</v>
      </c>
      <c r="F5" s="21">
        <f>C5*E5</f>
        <v>302500</v>
      </c>
      <c r="G5" s="81" t="s">
        <v>73</v>
      </c>
      <c r="I5" s="28"/>
      <c r="J5" s="29"/>
      <c r="K5" s="25"/>
      <c r="L5" s="25"/>
      <c r="O5">
        <v>1251</v>
      </c>
    </row>
    <row r="6" spans="1:15" ht="23.5" customHeight="1">
      <c r="A6" s="76"/>
      <c r="B6" s="27"/>
      <c r="C6" s="30"/>
      <c r="D6" s="29"/>
      <c r="E6" s="30"/>
      <c r="F6" s="21"/>
      <c r="G6" s="81"/>
      <c r="I6" s="28"/>
      <c r="J6" s="29"/>
      <c r="K6" s="25"/>
      <c r="L6" s="25"/>
      <c r="O6">
        <v>1016</v>
      </c>
    </row>
    <row r="7" spans="1:15" ht="23.5" customHeight="1">
      <c r="A7" s="76"/>
      <c r="B7" s="27"/>
      <c r="C7" s="30"/>
      <c r="D7" s="29"/>
      <c r="E7" s="82"/>
      <c r="F7" s="21"/>
      <c r="G7" s="81"/>
      <c r="I7" s="28"/>
      <c r="J7" s="24"/>
      <c r="K7" s="25"/>
      <c r="L7" s="25"/>
      <c r="O7">
        <f>SUM(O5-O6)</f>
        <v>235</v>
      </c>
    </row>
    <row r="8" spans="1:15" ht="23.5" customHeight="1">
      <c r="A8" s="76"/>
      <c r="B8" s="27"/>
      <c r="C8" s="28"/>
      <c r="D8" s="29"/>
      <c r="E8" s="30"/>
      <c r="F8" s="21"/>
      <c r="G8" s="20"/>
      <c r="I8" s="28"/>
      <c r="J8" s="29"/>
      <c r="K8" s="25"/>
      <c r="L8" s="25"/>
      <c r="O8">
        <f>SUM(O7/O5*100)</f>
        <v>18.784972022382092</v>
      </c>
    </row>
    <row r="9" spans="1:15" ht="23.5" customHeight="1">
      <c r="A9" s="77"/>
      <c r="B9" s="27"/>
      <c r="C9" s="28"/>
      <c r="D9" s="29"/>
      <c r="E9" s="30"/>
      <c r="F9" s="21"/>
      <c r="G9" s="20"/>
      <c r="I9" s="28"/>
      <c r="J9" s="29"/>
      <c r="K9" s="25"/>
      <c r="L9" s="25"/>
    </row>
    <row r="10" spans="1:15" ht="23.5" customHeight="1">
      <c r="A10" s="78"/>
      <c r="B10" s="27"/>
      <c r="C10" s="28"/>
      <c r="D10" s="29"/>
      <c r="E10" s="30"/>
      <c r="F10" s="21"/>
      <c r="G10" s="20"/>
      <c r="I10" s="28">
        <f t="shared" ref="I10:I18" si="0">SUM(C10)</f>
        <v>0</v>
      </c>
      <c r="J10" s="29"/>
      <c r="K10" s="25">
        <f>SUM(E10*0.6)</f>
        <v>0</v>
      </c>
      <c r="L10" s="25">
        <f t="shared" ref="L10:L20" si="1">SUM(I10*K10)</f>
        <v>0</v>
      </c>
    </row>
    <row r="11" spans="1:15" ht="23.5" customHeight="1">
      <c r="A11" s="79"/>
      <c r="B11" s="27"/>
      <c r="C11" s="28"/>
      <c r="D11" s="29"/>
      <c r="E11" s="30"/>
      <c r="F11" s="21"/>
      <c r="G11" s="20"/>
      <c r="I11" s="28"/>
      <c r="J11" s="29"/>
      <c r="K11" s="25"/>
      <c r="L11" s="25"/>
      <c r="O11" s="32">
        <v>3500000</v>
      </c>
    </row>
    <row r="12" spans="1:15" ht="23.5" customHeight="1">
      <c r="A12" s="80"/>
      <c r="B12" s="33"/>
      <c r="C12" s="34"/>
      <c r="D12" s="35"/>
      <c r="E12" s="36"/>
      <c r="F12" s="21"/>
      <c r="G12" s="20"/>
      <c r="I12" s="28"/>
      <c r="J12" s="35"/>
      <c r="K12" s="25"/>
      <c r="L12" s="25"/>
      <c r="O12" s="32" t="e">
        <f>SUM(#REF!-O11)</f>
        <v>#REF!</v>
      </c>
    </row>
    <row r="13" spans="1:15" ht="23.5" customHeight="1">
      <c r="A13" s="76"/>
      <c r="B13" s="27"/>
      <c r="C13" s="28"/>
      <c r="D13" s="29"/>
      <c r="E13" s="30"/>
      <c r="F13" s="21"/>
      <c r="G13" s="20"/>
      <c r="I13" s="28"/>
      <c r="J13" s="24"/>
      <c r="K13" s="25"/>
      <c r="L13" s="25"/>
    </row>
    <row r="14" spans="1:15" ht="23.5" customHeight="1">
      <c r="A14" s="79"/>
      <c r="B14" s="27"/>
      <c r="C14" s="28"/>
      <c r="D14" s="29"/>
      <c r="E14" s="30"/>
      <c r="F14" s="21"/>
      <c r="G14" s="20"/>
      <c r="I14" s="28"/>
      <c r="J14" s="24"/>
      <c r="K14" s="25"/>
      <c r="L14" s="25"/>
    </row>
    <row r="15" spans="1:15" ht="23.5" customHeight="1">
      <c r="A15" s="79" t="s">
        <v>50</v>
      </c>
      <c r="B15" s="27"/>
      <c r="C15" s="28">
        <v>1</v>
      </c>
      <c r="D15" s="29" t="s">
        <v>5</v>
      </c>
      <c r="E15" s="30">
        <f>SUM(F5:F10)</f>
        <v>302500</v>
      </c>
      <c r="F15" s="21"/>
      <c r="G15" s="20"/>
      <c r="I15" s="28">
        <f t="shared" si="0"/>
        <v>1</v>
      </c>
      <c r="J15" s="24"/>
      <c r="K15" s="25">
        <f t="shared" ref="K15:K18" si="2">SUM(E15*0.6)</f>
        <v>181500</v>
      </c>
      <c r="L15" s="25"/>
    </row>
    <row r="16" spans="1:15" ht="23.5" customHeight="1">
      <c r="A16" s="79"/>
      <c r="B16" s="27"/>
      <c r="C16" s="28"/>
      <c r="D16" s="29"/>
      <c r="E16" s="30"/>
      <c r="F16" s="21"/>
      <c r="G16" s="20"/>
      <c r="I16" s="28"/>
      <c r="J16" s="37"/>
      <c r="K16" s="25"/>
      <c r="L16" s="25"/>
    </row>
    <row r="17" spans="1:14" ht="23.5" customHeight="1">
      <c r="A17" s="79" t="s">
        <v>51</v>
      </c>
      <c r="B17" s="38" t="s">
        <v>72</v>
      </c>
      <c r="C17" s="28">
        <v>1</v>
      </c>
      <c r="D17" s="29" t="s">
        <v>53</v>
      </c>
      <c r="E17" s="30">
        <v>75000</v>
      </c>
      <c r="F17" s="21">
        <f t="shared" ref="F17:F20" si="3">SUM(C17*E17)</f>
        <v>75000</v>
      </c>
      <c r="G17" s="20"/>
      <c r="I17" s="28">
        <f t="shared" si="0"/>
        <v>1</v>
      </c>
      <c r="J17" s="37"/>
      <c r="K17" s="25">
        <f t="shared" si="2"/>
        <v>45000</v>
      </c>
      <c r="L17" s="25">
        <f t="shared" si="1"/>
        <v>45000</v>
      </c>
    </row>
    <row r="18" spans="1:14" ht="23.5" customHeight="1">
      <c r="A18" s="79" t="s">
        <v>54</v>
      </c>
      <c r="B18" s="27" t="s">
        <v>55</v>
      </c>
      <c r="C18" s="28">
        <v>1</v>
      </c>
      <c r="D18" s="29" t="s">
        <v>5</v>
      </c>
      <c r="E18" s="30">
        <f>SUM(E15*10%)</f>
        <v>30250</v>
      </c>
      <c r="F18" s="21">
        <f t="shared" si="3"/>
        <v>30250</v>
      </c>
      <c r="G18" s="219" t="s">
        <v>67</v>
      </c>
      <c r="I18" s="28">
        <f t="shared" si="0"/>
        <v>1</v>
      </c>
      <c r="J18" s="37"/>
      <c r="K18" s="25">
        <f t="shared" si="2"/>
        <v>18150</v>
      </c>
      <c r="L18" s="25">
        <f t="shared" si="1"/>
        <v>18150</v>
      </c>
    </row>
    <row r="19" spans="1:14" ht="23.5" customHeight="1">
      <c r="A19" s="79" t="s">
        <v>74</v>
      </c>
      <c r="B19" s="27"/>
      <c r="C19" s="28">
        <v>1</v>
      </c>
      <c r="D19" s="24" t="s">
        <v>5</v>
      </c>
      <c r="E19" s="30">
        <v>-2875</v>
      </c>
      <c r="F19" s="21">
        <f t="shared" si="3"/>
        <v>-2875</v>
      </c>
      <c r="G19" s="219"/>
      <c r="I19" s="28"/>
      <c r="J19" s="37"/>
      <c r="K19" s="25"/>
      <c r="L19" s="25"/>
    </row>
    <row r="20" spans="1:14" ht="23.5" customHeight="1">
      <c r="A20" s="79" t="s">
        <v>56</v>
      </c>
      <c r="B20" s="20"/>
      <c r="C20" s="28">
        <v>1</v>
      </c>
      <c r="D20" s="24" t="s">
        <v>5</v>
      </c>
      <c r="E20" s="30">
        <f>SUM(E15*5%)</f>
        <v>15125</v>
      </c>
      <c r="F20" s="21">
        <f t="shared" si="3"/>
        <v>15125</v>
      </c>
      <c r="G20" s="219"/>
      <c r="I20" s="28"/>
      <c r="J20" s="24"/>
      <c r="K20" s="25"/>
      <c r="L20" s="25">
        <f t="shared" si="1"/>
        <v>0</v>
      </c>
      <c r="N20" t="s">
        <v>57</v>
      </c>
    </row>
    <row r="21" spans="1:14" ht="23.5" customHeight="1">
      <c r="A21" s="79" t="s">
        <v>58</v>
      </c>
      <c r="B21" s="20"/>
      <c r="C21" s="28"/>
      <c r="D21" s="24"/>
      <c r="E21" s="21"/>
      <c r="F21" s="21">
        <f>SUM(F4:F20)</f>
        <v>420000</v>
      </c>
      <c r="G21" s="20"/>
      <c r="I21" s="20"/>
      <c r="J21" s="25"/>
      <c r="K21" s="25"/>
      <c r="L21" s="46">
        <f>SUM(L3:L20)</f>
        <v>63150</v>
      </c>
      <c r="M21">
        <f>SUM(L21/8)</f>
        <v>7893.75</v>
      </c>
      <c r="N21">
        <f>SUM(M21/4)</f>
        <v>1973.4375</v>
      </c>
    </row>
    <row r="22" spans="1:14" ht="23.5" customHeight="1">
      <c r="A22" s="47" t="s">
        <v>59</v>
      </c>
      <c r="B22" s="48"/>
      <c r="C22" s="48"/>
      <c r="D22" s="48"/>
      <c r="E22" s="48"/>
      <c r="F22" s="48"/>
      <c r="G22" s="49"/>
      <c r="J22" s="50"/>
      <c r="K22" s="50"/>
      <c r="L22" s="51"/>
    </row>
    <row r="23" spans="1:14" ht="23.5" customHeight="1">
      <c r="A23" s="47" t="s">
        <v>60</v>
      </c>
      <c r="B23" s="48"/>
      <c r="C23" s="48"/>
      <c r="D23" s="48"/>
      <c r="E23" s="48"/>
      <c r="F23" s="48"/>
      <c r="G23" s="49"/>
      <c r="J23" s="50"/>
      <c r="K23" s="50"/>
      <c r="L23" s="51"/>
    </row>
    <row r="24" spans="1:14" ht="23.5" customHeight="1" thickBot="1">
      <c r="A24" s="52" t="s">
        <v>61</v>
      </c>
      <c r="B24" s="53"/>
      <c r="C24" s="53"/>
      <c r="D24" s="53"/>
      <c r="E24" s="53"/>
      <c r="F24" s="53"/>
      <c r="G24" s="54"/>
      <c r="J24" s="50"/>
      <c r="K24" s="50"/>
      <c r="L24" s="51"/>
    </row>
    <row r="25" spans="1:14" ht="26" thickTop="1" thickBot="1">
      <c r="A25" s="211" t="s">
        <v>37</v>
      </c>
      <c r="B25" s="212"/>
      <c r="C25" s="212"/>
      <c r="D25" s="212"/>
      <c r="E25" s="212"/>
      <c r="F25" s="212"/>
      <c r="G25" s="213"/>
      <c r="I25" s="209" t="s">
        <v>38</v>
      </c>
      <c r="J25" s="210"/>
      <c r="K25" s="209" t="s">
        <v>39</v>
      </c>
      <c r="L25" s="210"/>
      <c r="M25" s="32">
        <v>3500000</v>
      </c>
    </row>
    <row r="26" spans="1:14" ht="23" customHeight="1" thickTop="1">
      <c r="A26" s="15" t="s">
        <v>40</v>
      </c>
      <c r="B26" s="16" t="s">
        <v>41</v>
      </c>
      <c r="C26" s="16" t="s">
        <v>42</v>
      </c>
      <c r="D26" s="17" t="s">
        <v>43</v>
      </c>
      <c r="E26" s="17" t="s">
        <v>44</v>
      </c>
      <c r="F26" s="17" t="s">
        <v>45</v>
      </c>
      <c r="G26" s="18" t="s">
        <v>46</v>
      </c>
      <c r="I26" s="16"/>
      <c r="J26" s="17"/>
      <c r="K26" s="17"/>
      <c r="L26" s="17" t="s">
        <v>45</v>
      </c>
      <c r="M26" s="32">
        <f>SUM(F46)</f>
        <v>1427000</v>
      </c>
    </row>
    <row r="27" spans="1:14" ht="23.5" customHeight="1">
      <c r="A27" s="19" t="s">
        <v>47</v>
      </c>
      <c r="B27" s="20"/>
      <c r="C27" s="20"/>
      <c r="D27" s="21"/>
      <c r="E27" s="21"/>
      <c r="F27" s="21"/>
      <c r="G27" s="22"/>
      <c r="I27" s="23"/>
      <c r="J27" s="24"/>
      <c r="K27" s="25"/>
      <c r="L27" s="25"/>
      <c r="M27" s="32">
        <f>SUM(M25-M26)</f>
        <v>2073000</v>
      </c>
    </row>
    <row r="28" spans="1:14" ht="23.5" customHeight="1">
      <c r="A28" s="26"/>
      <c r="B28" s="55"/>
      <c r="C28" s="28"/>
      <c r="D28" s="29"/>
      <c r="E28" s="30"/>
      <c r="F28" s="21"/>
      <c r="G28" s="214"/>
      <c r="I28" s="28"/>
      <c r="J28" s="29"/>
      <c r="K28" s="56"/>
      <c r="L28" s="25">
        <f>SUM(I28*K28)</f>
        <v>0</v>
      </c>
      <c r="M28">
        <f>SUM(M27/M25*100)</f>
        <v>59.228571428571428</v>
      </c>
    </row>
    <row r="29" spans="1:14" ht="23.5" customHeight="1">
      <c r="A29" s="57" t="s">
        <v>62</v>
      </c>
      <c r="B29" s="58"/>
      <c r="C29" s="59">
        <v>259</v>
      </c>
      <c r="D29" s="60" t="s">
        <v>49</v>
      </c>
      <c r="E29" s="61">
        <v>630</v>
      </c>
      <c r="F29" s="62">
        <f t="shared" ref="F29:F31" si="4">SUM(C29*E29)</f>
        <v>163170</v>
      </c>
      <c r="G29" s="215"/>
      <c r="I29" s="28"/>
      <c r="J29" s="29"/>
      <c r="K29" s="30"/>
      <c r="L29" s="25">
        <f t="shared" ref="L29:L40" si="5">SUM(I29*K29)</f>
        <v>0</v>
      </c>
    </row>
    <row r="30" spans="1:14" ht="23.5" customHeight="1">
      <c r="A30" s="57" t="s">
        <v>63</v>
      </c>
      <c r="B30" s="63"/>
      <c r="C30" s="59">
        <v>213</v>
      </c>
      <c r="D30" s="60" t="s">
        <v>49</v>
      </c>
      <c r="E30" s="61">
        <v>630</v>
      </c>
      <c r="F30" s="62">
        <f t="shared" si="4"/>
        <v>134190</v>
      </c>
      <c r="G30" s="215"/>
      <c r="I30" s="28"/>
      <c r="J30" s="29"/>
      <c r="K30" s="56"/>
      <c r="L30" s="25">
        <f t="shared" si="5"/>
        <v>0</v>
      </c>
    </row>
    <row r="31" spans="1:14" ht="23.5" customHeight="1">
      <c r="A31" s="57" t="s">
        <v>64</v>
      </c>
      <c r="B31" s="216"/>
      <c r="C31" s="59">
        <v>91</v>
      </c>
      <c r="D31" s="60" t="s">
        <v>49</v>
      </c>
      <c r="E31" s="61">
        <v>630</v>
      </c>
      <c r="F31" s="62">
        <f t="shared" si="4"/>
        <v>57330</v>
      </c>
      <c r="G31" s="215"/>
      <c r="I31" s="28"/>
      <c r="J31" s="24"/>
      <c r="K31" s="56"/>
      <c r="L31" s="25">
        <f t="shared" si="5"/>
        <v>0</v>
      </c>
    </row>
    <row r="32" spans="1:14" ht="23.5" customHeight="1">
      <c r="A32" s="57" t="s">
        <v>65</v>
      </c>
      <c r="B32" s="217"/>
      <c r="C32" s="59">
        <v>992</v>
      </c>
      <c r="D32" s="60" t="s">
        <v>49</v>
      </c>
      <c r="E32" s="61">
        <v>630</v>
      </c>
      <c r="F32" s="62">
        <f t="shared" ref="F32:F34" si="6">SUM(C32*E32)</f>
        <v>624960</v>
      </c>
      <c r="G32" s="218"/>
      <c r="I32" s="28"/>
      <c r="J32" s="29"/>
      <c r="K32" s="56"/>
      <c r="L32" s="25">
        <f t="shared" si="5"/>
        <v>0</v>
      </c>
    </row>
    <row r="33" spans="1:12" ht="23.5" customHeight="1">
      <c r="A33" s="64"/>
      <c r="B33" s="65"/>
      <c r="C33" s="59"/>
      <c r="D33" s="60"/>
      <c r="E33" s="61"/>
      <c r="F33" s="62"/>
      <c r="G33" s="22"/>
      <c r="I33" s="28"/>
      <c r="J33" s="29"/>
      <c r="K33" s="30"/>
      <c r="L33" s="25">
        <f t="shared" si="5"/>
        <v>0</v>
      </c>
    </row>
    <row r="34" spans="1:12" ht="23.5" customHeight="1">
      <c r="A34" s="66" t="s">
        <v>66</v>
      </c>
      <c r="B34" s="65" t="s">
        <v>48</v>
      </c>
      <c r="C34" s="59">
        <f>SUM(C28:C33)</f>
        <v>1555</v>
      </c>
      <c r="D34" s="60" t="s">
        <v>49</v>
      </c>
      <c r="E34" s="61">
        <v>630</v>
      </c>
      <c r="F34" s="62">
        <f t="shared" si="6"/>
        <v>979650</v>
      </c>
      <c r="G34" s="22"/>
      <c r="I34" s="28"/>
      <c r="J34" s="29"/>
      <c r="K34" s="30"/>
      <c r="L34" s="25">
        <f t="shared" si="5"/>
        <v>0</v>
      </c>
    </row>
    <row r="35" spans="1:12" ht="23.5" customHeight="1">
      <c r="A35" s="67"/>
      <c r="B35" s="65"/>
      <c r="C35" s="59"/>
      <c r="D35" s="60"/>
      <c r="E35" s="61"/>
      <c r="F35" s="62"/>
      <c r="G35" s="22"/>
      <c r="I35" s="28"/>
      <c r="J35" s="29"/>
      <c r="K35" s="30"/>
      <c r="L35" s="25">
        <f t="shared" si="5"/>
        <v>0</v>
      </c>
    </row>
    <row r="36" spans="1:12" ht="23.5" customHeight="1">
      <c r="A36" s="68"/>
      <c r="B36" s="65"/>
      <c r="C36" s="59"/>
      <c r="D36" s="60"/>
      <c r="E36" s="61"/>
      <c r="F36" s="62"/>
      <c r="G36" s="22"/>
      <c r="I36" s="28"/>
      <c r="J36" s="29"/>
      <c r="K36" s="30"/>
      <c r="L36" s="25">
        <f t="shared" si="5"/>
        <v>0</v>
      </c>
    </row>
    <row r="37" spans="1:12" ht="23.5" customHeight="1">
      <c r="A37" s="69"/>
      <c r="B37" s="70"/>
      <c r="C37" s="59"/>
      <c r="D37" s="60"/>
      <c r="E37" s="71"/>
      <c r="F37" s="62"/>
      <c r="G37" s="22"/>
      <c r="I37" s="34"/>
      <c r="J37" s="35"/>
      <c r="K37" s="36"/>
      <c r="L37" s="25">
        <f t="shared" si="5"/>
        <v>0</v>
      </c>
    </row>
    <row r="38" spans="1:12" ht="23.5" customHeight="1">
      <c r="A38" s="68"/>
      <c r="B38" s="65"/>
      <c r="C38" s="59"/>
      <c r="D38" s="60"/>
      <c r="E38" s="61"/>
      <c r="F38" s="62"/>
      <c r="G38" s="22"/>
      <c r="I38" s="28"/>
      <c r="J38" s="29"/>
      <c r="K38" s="30"/>
      <c r="L38" s="25">
        <f t="shared" si="5"/>
        <v>0</v>
      </c>
    </row>
    <row r="39" spans="1:12" ht="23.5" customHeight="1">
      <c r="A39" s="68" t="s">
        <v>50</v>
      </c>
      <c r="B39" s="65"/>
      <c r="C39" s="59">
        <v>1</v>
      </c>
      <c r="D39" s="60" t="s">
        <v>5</v>
      </c>
      <c r="E39" s="61">
        <f>SUM(F34)</f>
        <v>979650</v>
      </c>
      <c r="F39" s="62"/>
      <c r="G39" s="22"/>
      <c r="I39" s="28"/>
      <c r="J39" s="24"/>
      <c r="K39" s="30"/>
      <c r="L39" s="25">
        <f t="shared" si="5"/>
        <v>0</v>
      </c>
    </row>
    <row r="40" spans="1:12" ht="23.5" customHeight="1">
      <c r="A40" s="68"/>
      <c r="B40" s="65"/>
      <c r="C40" s="59"/>
      <c r="D40" s="60"/>
      <c r="E40" s="61"/>
      <c r="F40" s="62"/>
      <c r="G40" s="22"/>
      <c r="I40" s="28"/>
      <c r="J40" s="24"/>
      <c r="K40" s="25"/>
      <c r="L40" s="25">
        <f t="shared" si="5"/>
        <v>0</v>
      </c>
    </row>
    <row r="41" spans="1:12" ht="23.5" customHeight="1">
      <c r="A41" s="68" t="s">
        <v>51</v>
      </c>
      <c r="B41" s="72" t="s">
        <v>52</v>
      </c>
      <c r="C41" s="59">
        <v>2</v>
      </c>
      <c r="D41" s="60" t="s">
        <v>53</v>
      </c>
      <c r="E41" s="61">
        <v>100000</v>
      </c>
      <c r="F41" s="62">
        <f>SUM(C41*E41)</f>
        <v>200000</v>
      </c>
      <c r="G41" s="22"/>
      <c r="I41" s="28"/>
      <c r="J41" s="24"/>
      <c r="K41" s="25"/>
      <c r="L41" s="25"/>
    </row>
    <row r="42" spans="1:12" ht="23.5" customHeight="1">
      <c r="A42" s="68" t="s">
        <v>54</v>
      </c>
      <c r="B42" s="65" t="s">
        <v>55</v>
      </c>
      <c r="C42" s="59">
        <v>1</v>
      </c>
      <c r="D42" s="60" t="s">
        <v>5</v>
      </c>
      <c r="E42" s="61">
        <v>160000</v>
      </c>
      <c r="F42" s="62">
        <f t="shared" ref="F42:F43" si="7">SUM(C42*E42)</f>
        <v>160000</v>
      </c>
      <c r="G42" s="39"/>
      <c r="I42" s="28"/>
      <c r="J42" s="37"/>
      <c r="K42" s="25"/>
      <c r="L42" s="25">
        <f t="shared" ref="L42:L45" si="8">SUM(I42*K42)</f>
        <v>0</v>
      </c>
    </row>
    <row r="43" spans="1:12" ht="23.5" customHeight="1">
      <c r="A43" s="68" t="s">
        <v>56</v>
      </c>
      <c r="B43" s="73"/>
      <c r="C43" s="59">
        <v>1</v>
      </c>
      <c r="D43" s="74" t="s">
        <v>5</v>
      </c>
      <c r="E43" s="61">
        <v>88040</v>
      </c>
      <c r="F43" s="62">
        <f t="shared" si="7"/>
        <v>88040</v>
      </c>
      <c r="G43" s="39"/>
      <c r="I43" s="28"/>
      <c r="J43" s="37"/>
      <c r="K43" s="25"/>
      <c r="L43" s="25">
        <f t="shared" si="8"/>
        <v>0</v>
      </c>
    </row>
    <row r="44" spans="1:12" ht="23.5" customHeight="1">
      <c r="A44" s="68"/>
      <c r="B44" s="65"/>
      <c r="C44" s="59"/>
      <c r="D44" s="60"/>
      <c r="E44" s="61"/>
      <c r="F44" s="62">
        <v>-690</v>
      </c>
      <c r="G44" s="39"/>
      <c r="I44" s="28"/>
      <c r="J44" s="37"/>
      <c r="K44" s="25"/>
      <c r="L44" s="25">
        <f t="shared" si="8"/>
        <v>0</v>
      </c>
    </row>
    <row r="45" spans="1:12" ht="23.5" customHeight="1">
      <c r="A45" s="68"/>
      <c r="B45" s="73"/>
      <c r="C45" s="59"/>
      <c r="D45" s="74"/>
      <c r="E45" s="61"/>
      <c r="F45" s="62"/>
      <c r="G45" s="39"/>
      <c r="I45" s="28"/>
      <c r="J45" s="24"/>
      <c r="K45" s="25"/>
      <c r="L45" s="25">
        <f t="shared" si="8"/>
        <v>0</v>
      </c>
    </row>
    <row r="46" spans="1:12" ht="23.5" customHeight="1" thickBot="1">
      <c r="A46" s="40" t="s">
        <v>58</v>
      </c>
      <c r="B46" s="41"/>
      <c r="C46" s="42"/>
      <c r="D46" s="43"/>
      <c r="E46" s="44"/>
      <c r="F46" s="44">
        <f>SUM(E39+F41+F42+F43)+F44</f>
        <v>1427000</v>
      </c>
      <c r="G46" s="45"/>
      <c r="I46" s="20"/>
      <c r="J46" s="25"/>
      <c r="K46" s="25"/>
      <c r="L46" s="46">
        <f>SUM(L27:L45)</f>
        <v>0</v>
      </c>
    </row>
    <row r="47" spans="1:12" ht="23.5" customHeight="1">
      <c r="A47" s="47" t="s">
        <v>59</v>
      </c>
      <c r="B47" s="48"/>
      <c r="C47" s="48"/>
      <c r="D47" s="48"/>
      <c r="E47" s="48"/>
      <c r="F47" s="48"/>
      <c r="G47" s="49"/>
      <c r="J47" s="50"/>
      <c r="K47" s="50"/>
      <c r="L47" s="51"/>
    </row>
    <row r="48" spans="1:12" ht="23.5" customHeight="1">
      <c r="A48" s="47" t="s">
        <v>60</v>
      </c>
      <c r="B48" s="48"/>
      <c r="C48" s="48"/>
      <c r="D48" s="48"/>
      <c r="E48" s="48"/>
      <c r="F48" s="48"/>
      <c r="G48" s="49"/>
      <c r="J48" s="50"/>
      <c r="K48" s="50"/>
      <c r="L48" s="51"/>
    </row>
    <row r="49" spans="1:12" ht="23.5" customHeight="1">
      <c r="A49" s="52" t="s">
        <v>61</v>
      </c>
      <c r="B49" s="53"/>
      <c r="C49" s="53"/>
      <c r="D49" s="53"/>
      <c r="E49" s="53"/>
      <c r="F49" s="53"/>
      <c r="G49" s="54"/>
      <c r="J49" s="50"/>
      <c r="K49" s="50"/>
      <c r="L49" s="51"/>
    </row>
  </sheetData>
  <mergeCells count="10">
    <mergeCell ref="G28:G30"/>
    <mergeCell ref="B31:B32"/>
    <mergeCell ref="G31:G32"/>
    <mergeCell ref="G18:G20"/>
    <mergeCell ref="A1:G1"/>
    <mergeCell ref="I1:J1"/>
    <mergeCell ref="K1:L1"/>
    <mergeCell ref="A25:G25"/>
    <mergeCell ref="I25:J25"/>
    <mergeCell ref="K25:L25"/>
  </mergeCells>
  <phoneticPr fontId="4"/>
  <printOptions horizontalCentered="1" verticalCentered="1"/>
  <pageMargins left="0.70866141732283472" right="0.51181102362204722" top="0.55118110236220474" bottom="0.55118110236220474" header="0.31496062992125984" footer="0.31496062992125984"/>
  <pageSetup paperSize="9" scale="85" orientation="landscape" r:id="rId1"/>
  <rowBreaks count="1" manualBreakCount="1">
    <brk id="24" max="6"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内訳明細書</vt:lpstr>
      <vt:lpstr>内訳明細書!Print_Area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2026-01-09T07:21:19Z</cp:lastPrinted>
  <dcterms:created xsi:type="dcterms:W3CDTF">2024-02-15T06:21:43Z</dcterms:created>
  <dcterms:modified xsi:type="dcterms:W3CDTF">2026-01-09T07:23:40Z</dcterms:modified>
</cp:coreProperties>
</file>