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ueharataku/Desktop/書類/進行中/"/>
    </mc:Choice>
  </mc:AlternateContent>
  <xr:revisionPtr revIDLastSave="0" documentId="13_ncr:1_{B7FF98BF-0BC3-F54B-BBCB-19B9C3E952A5}" xr6:coauthVersionLast="47" xr6:coauthVersionMax="47" xr10:uidLastSave="{00000000-0000-0000-0000-000000000000}"/>
  <bookViews>
    <workbookView xWindow="19200" yWindow="760" windowWidth="19200" windowHeight="22100" xr2:uid="{C5C81E12-876B-4960-841D-440736DF6C76}"/>
  </bookViews>
  <sheets>
    <sheet name="表紙" sheetId="1" r:id="rId1"/>
    <sheet name="内訳明細書" sheetId="2" r:id="rId2"/>
  </sheets>
  <externalReferences>
    <externalReference r:id="rId3"/>
    <externalReference r:id="rId4"/>
  </externalReferences>
  <definedNames>
    <definedName name="HTML_CodePage" hidden="1">932</definedName>
    <definedName name="HTML_Control" hidden="1">{"'Ｈ棟'!$A$1:$X$84"}</definedName>
    <definedName name="HTML_Description" hidden="1">""</definedName>
    <definedName name="HTML_Email" hidden="1">""</definedName>
    <definedName name="HTML_Header" hidden="1">"Ｈ棟"</definedName>
    <definedName name="HTML_LastUpdate" hidden="1">"99/12/26"</definedName>
    <definedName name="HTML_LineAfter" hidden="1">FALSE</definedName>
    <definedName name="HTML_LineBefore" hidden="1">FALSE</definedName>
    <definedName name="HTML_Name" hidden="1">"VAIO"</definedName>
    <definedName name="HTML_OBDlg2" hidden="1">TRUE</definedName>
    <definedName name="HTML_OBDlg4" hidden="1">TRUE</definedName>
    <definedName name="HTML_OS" hidden="1">0</definedName>
    <definedName name="HTML_PathFile" hidden="1">"C:\My Documents\MyHTML.htm"</definedName>
    <definedName name="HTML_Title" hidden="1">"東戸塚高層棟Ｈ，Ｉ、J,K,L,M,N (1)"</definedName>
    <definedName name="JVSB1会社名" localSheetId="1">[1]工事総括!#REF!</definedName>
    <definedName name="JVSB1会社名" localSheetId="0">[1]工事総括!#REF!</definedName>
    <definedName name="JVSB1会社名">[1]工事総括!#REF!</definedName>
    <definedName name="JVSB1比率" localSheetId="1">[1]工事総括!#REF!</definedName>
    <definedName name="JVSB1比率" localSheetId="0">[1]工事総括!#REF!</definedName>
    <definedName name="JVSB1比率">[1]工事総括!#REF!</definedName>
    <definedName name="JVSB2会社名" localSheetId="1">[1]工事総括!#REF!</definedName>
    <definedName name="JVSB2会社名" localSheetId="0">[1]工事総括!#REF!</definedName>
    <definedName name="JVSB2会社名">[1]工事総括!#REF!</definedName>
    <definedName name="JVSB2比率" localSheetId="1">[1]工事総括!#REF!</definedName>
    <definedName name="JVSB2比率" localSheetId="0">[1]工事総括!#REF!</definedName>
    <definedName name="JVSB2比率">[1]工事総括!#REF!</definedName>
    <definedName name="JVSB3会社名" localSheetId="1">[1]工事総括!#REF!</definedName>
    <definedName name="JVSB3会社名" localSheetId="0">[1]工事総括!#REF!</definedName>
    <definedName name="JVSB3会社名">[1]工事総括!#REF!</definedName>
    <definedName name="JVSB3比率" localSheetId="1">[1]工事総括!#REF!</definedName>
    <definedName name="JVSB3比率" localSheetId="0">[1]工事総括!#REF!</definedName>
    <definedName name="JVSB3比率">[1]工事総括!#REF!</definedName>
    <definedName name="JVSB4会社名" localSheetId="1">[1]工事総括!#REF!</definedName>
    <definedName name="JVSB4会社名" localSheetId="0">[1]工事総括!#REF!</definedName>
    <definedName name="JVSB4会社名">[1]工事総括!#REF!</definedName>
    <definedName name="JVSB4比率" localSheetId="1">[1]工事総括!#REF!</definedName>
    <definedName name="JVSB4比率" localSheetId="0">[1]工事総括!#REF!</definedName>
    <definedName name="JVSB4比率">[1]工事総括!#REF!</definedName>
    <definedName name="JVSB5会社名" localSheetId="1">[1]工事総括!#REF!</definedName>
    <definedName name="JVSB5会社名" localSheetId="0">[1]工事総括!#REF!</definedName>
    <definedName name="JVSB5会社名">[1]工事総括!#REF!</definedName>
    <definedName name="JVSB5比率" localSheetId="1">[1]工事総括!#REF!</definedName>
    <definedName name="JVSB5比率" localSheetId="0">[1]工事総括!#REF!</definedName>
    <definedName name="JVSB5比率">[1]工事総括!#REF!</definedName>
    <definedName name="JVSP会社名" localSheetId="1">[1]工事総括!#REF!</definedName>
    <definedName name="JVSP会社名" localSheetId="0">[1]工事総括!#REF!</definedName>
    <definedName name="JVSP会社名">[1]工事総括!#REF!</definedName>
    <definedName name="JVSP比率" localSheetId="1">[1]工事総括!#REF!</definedName>
    <definedName name="JVSP比率" localSheetId="0">[1]工事総括!#REF!</definedName>
    <definedName name="JVSP比率">[1]工事総括!#REF!</definedName>
    <definedName name="_xlnm.Print_Area" localSheetId="1">内訳明細書!$A$1:$G$24</definedName>
    <definedName name="_xlnm.Print_Area" localSheetId="0">表紙!$A$1:$AY$38</definedName>
    <definedName name="っっっｄ" localSheetId="1">#REF!</definedName>
    <definedName name="っっっｄ" localSheetId="0">#REF!</definedName>
    <definedName name="っっっｄ">#REF!</definedName>
    <definedName name="営業担当" localSheetId="1">#REF!</definedName>
    <definedName name="営業担当" localSheetId="0">#REF!</definedName>
    <definedName name="営業担当">#REF!</definedName>
    <definedName name="階層02合計行">#REF!</definedName>
    <definedName name="階層02親行">#REF!</definedName>
    <definedName name="階層03合計行">#REF!</definedName>
    <definedName name="階層03親行">#REF!</definedName>
    <definedName name="階層04合計行">#REF!</definedName>
    <definedName name="階層04親行">#REF!</definedName>
    <definedName name="階層05合計行">#REF!</definedName>
    <definedName name="階層05親行">#REF!</definedName>
    <definedName name="階層06合計行">#REF!</definedName>
    <definedName name="階層06親行">#REF!</definedName>
    <definedName name="階層07合計行">#REF!</definedName>
    <definedName name="階層07親行">#REF!</definedName>
    <definedName name="階層08合計行">#REF!</definedName>
    <definedName name="階層08親行">#REF!</definedName>
    <definedName name="階層09合計行">#REF!</definedName>
    <definedName name="階層09親行">#REF!</definedName>
    <definedName name="階層10合計行">#REF!</definedName>
    <definedName name="階層10親行">#REF!</definedName>
    <definedName name="階層11合計行">#REF!</definedName>
    <definedName name="階層11親行">#REF!</definedName>
    <definedName name="現在持分工事価格" localSheetId="1">[1]工事総括!#REF!</definedName>
    <definedName name="現在持分工事価格">[1]工事総括!#REF!</definedName>
    <definedName name="現在全体工事価格" localSheetId="1">[1]工事総括!#REF!</definedName>
    <definedName name="現在全体工事価格">[1]工事総括!#REF!</definedName>
    <definedName name="工事名" localSheetId="1">#REF!</definedName>
    <definedName name="工事名" localSheetId="0">#REF!</definedName>
    <definedName name="工事名">#REF!</definedName>
    <definedName name="工事名1" localSheetId="1">#REF!</definedName>
    <definedName name="工事名1" localSheetId="0">#REF!</definedName>
    <definedName name="工事名1">#REF!</definedName>
    <definedName name="作業所名" localSheetId="1">#REF!</definedName>
    <definedName name="作業所名" localSheetId="0">#REF!</definedName>
    <definedName name="作業所名">#REF!</definedName>
    <definedName name="支店" localSheetId="1">#REF!</definedName>
    <definedName name="支店" localSheetId="0">#REF!</definedName>
    <definedName name="支店">#REF!</definedName>
    <definedName name="支店名" localSheetId="1">#REF!</definedName>
    <definedName name="支店名" localSheetId="0">#REF!</definedName>
    <definedName name="支店名">#REF!</definedName>
    <definedName name="施工状態" localSheetId="1">[1]工事総括!#REF!</definedName>
    <definedName name="施工状態">[1]工事総括!#REF!</definedName>
    <definedName name="受注形態" localSheetId="1">[1]工事総括!#REF!</definedName>
    <definedName name="受注形態">[1]工事総括!#REF!</definedName>
    <definedName name="当初持分工事価格">[1]工事総括!#REF!</definedName>
    <definedName name="当初全体工事価格">[1]工事総括!#REF!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 l="1"/>
  <c r="F19" i="2"/>
  <c r="L45" i="2" l="1"/>
  <c r="L44" i="2"/>
  <c r="L43" i="2"/>
  <c r="F43" i="2"/>
  <c r="L42" i="2"/>
  <c r="F42" i="2"/>
  <c r="F41" i="2"/>
  <c r="L40" i="2"/>
  <c r="L39" i="2"/>
  <c r="L38" i="2"/>
  <c r="L37" i="2"/>
  <c r="L36" i="2"/>
  <c r="L35" i="2"/>
  <c r="L34" i="2"/>
  <c r="C34" i="2"/>
  <c r="F34" i="2" s="1"/>
  <c r="E39" i="2" s="1"/>
  <c r="L33" i="2"/>
  <c r="L32" i="2"/>
  <c r="F32" i="2"/>
  <c r="L31" i="2"/>
  <c r="F31" i="2"/>
  <c r="L30" i="2"/>
  <c r="F30" i="2"/>
  <c r="L29" i="2"/>
  <c r="F29" i="2"/>
  <c r="L28" i="2"/>
  <c r="L20" i="2"/>
  <c r="I18" i="2"/>
  <c r="K17" i="2"/>
  <c r="I17" i="2"/>
  <c r="F17" i="2"/>
  <c r="I15" i="2"/>
  <c r="O12" i="2"/>
  <c r="K10" i="2"/>
  <c r="I10" i="2"/>
  <c r="L10" i="2" s="1"/>
  <c r="O7" i="2"/>
  <c r="O8" i="2" s="1"/>
  <c r="E15" i="2"/>
  <c r="BA7" i="1"/>
  <c r="BD38" i="1"/>
  <c r="F46" i="2" l="1"/>
  <c r="M26" i="2" s="1"/>
  <c r="M27" i="2" s="1"/>
  <c r="M28" i="2" s="1"/>
  <c r="E18" i="2"/>
  <c r="K18" i="2" s="1"/>
  <c r="L18" i="2" s="1"/>
  <c r="E20" i="2"/>
  <c r="F20" i="2" s="1"/>
  <c r="L46" i="2"/>
  <c r="L17" i="2"/>
  <c r="K15" i="2"/>
  <c r="AZ39" i="1"/>
  <c r="L21" i="2" l="1"/>
  <c r="M21" i="2" s="1"/>
  <c r="N21" i="2" s="1"/>
  <c r="F18" i="2"/>
  <c r="F21" i="2" l="1"/>
  <c r="AL27" i="1" s="1"/>
  <c r="AL38" i="1" s="1"/>
  <c r="BP38" i="1" s="1"/>
  <c r="BJ38" i="1" l="1"/>
  <c r="U20" i="1"/>
  <c r="U21" i="1" s="1"/>
  <c r="U22" i="1" l="1"/>
</calcChain>
</file>

<file path=xl/sharedStrings.xml><?xml version="1.0" encoding="utf-8"?>
<sst xmlns="http://schemas.openxmlformats.org/spreadsheetml/2006/main" count="112" uniqueCount="77">
  <si>
    <t>決定</t>
    <rPh sb="0" eb="2">
      <t>ケッテイ</t>
    </rPh>
    <phoneticPr fontId="4"/>
  </si>
  <si>
    <t>合　計　（税抜）</t>
    <rPh sb="0" eb="1">
      <t>ゴウ</t>
    </rPh>
    <rPh sb="2" eb="3">
      <t>ケイ</t>
    </rPh>
    <rPh sb="5" eb="6">
      <t>ゼイ</t>
    </rPh>
    <rPh sb="6" eb="7">
      <t>ヌ</t>
    </rPh>
    <phoneticPr fontId="4"/>
  </si>
  <si>
    <t>率</t>
    <rPh sb="0" eb="1">
      <t>リツ</t>
    </rPh>
    <phoneticPr fontId="4"/>
  </si>
  <si>
    <t>粗利</t>
    <rPh sb="0" eb="2">
      <t>アラリ</t>
    </rPh>
    <phoneticPr fontId="4"/>
  </si>
  <si>
    <t>NET</t>
    <phoneticPr fontId="4"/>
  </si>
  <si>
    <t>式</t>
    <rPh sb="0" eb="1">
      <t>シキ</t>
    </rPh>
    <phoneticPr fontId="4"/>
  </si>
  <si>
    <t>備　考</t>
    <rPh sb="0" eb="1">
      <t>ビ</t>
    </rPh>
    <rPh sb="2" eb="3">
      <t>コウ</t>
    </rPh>
    <phoneticPr fontId="4"/>
  </si>
  <si>
    <t>金　額</t>
    <rPh sb="0" eb="1">
      <t>カネ</t>
    </rPh>
    <rPh sb="2" eb="3">
      <t>ガク</t>
    </rPh>
    <phoneticPr fontId="4"/>
  </si>
  <si>
    <t>単　価</t>
    <rPh sb="0" eb="1">
      <t>タン</t>
    </rPh>
    <rPh sb="2" eb="3">
      <t>アタイ</t>
    </rPh>
    <phoneticPr fontId="4"/>
  </si>
  <si>
    <t>単位</t>
    <rPh sb="0" eb="2">
      <t>タンイ</t>
    </rPh>
    <phoneticPr fontId="4"/>
  </si>
  <si>
    <t>数量</t>
    <rPh sb="0" eb="2">
      <t>スウリョウ</t>
    </rPh>
    <phoneticPr fontId="4"/>
  </si>
  <si>
    <t>仕様・規格・寸法</t>
    <rPh sb="0" eb="2">
      <t>シヨウ</t>
    </rPh>
    <rPh sb="3" eb="5">
      <t>キカク</t>
    </rPh>
    <rPh sb="6" eb="8">
      <t>スンポウ</t>
    </rPh>
    <phoneticPr fontId="4"/>
  </si>
  <si>
    <t>名　称</t>
    <rPh sb="0" eb="1">
      <t>ナ</t>
    </rPh>
    <rPh sb="2" eb="3">
      <t>ショウ</t>
    </rPh>
    <phoneticPr fontId="4"/>
  </si>
  <si>
    <t>No.</t>
    <phoneticPr fontId="4"/>
  </si>
  <si>
    <t>合　計　金　額</t>
    <rPh sb="0" eb="1">
      <t>ゴウ</t>
    </rPh>
    <rPh sb="2" eb="3">
      <t>ケイ</t>
    </rPh>
    <rPh sb="4" eb="5">
      <t>キン</t>
    </rPh>
    <rPh sb="6" eb="7">
      <t>ガク</t>
    </rPh>
    <phoneticPr fontId="4"/>
  </si>
  <si>
    <t>消 費 税(10%)</t>
    <rPh sb="0" eb="1">
      <t>ケ</t>
    </rPh>
    <rPh sb="2" eb="3">
      <t>ヒ</t>
    </rPh>
    <rPh sb="4" eb="5">
      <t>ゼイ</t>
    </rPh>
    <phoneticPr fontId="4"/>
  </si>
  <si>
    <t>小　計　金　額</t>
    <rPh sb="0" eb="1">
      <t>ショウ</t>
    </rPh>
    <rPh sb="2" eb="3">
      <t>ケイ</t>
    </rPh>
    <rPh sb="4" eb="5">
      <t>キン</t>
    </rPh>
    <rPh sb="6" eb="7">
      <t>ガク</t>
    </rPh>
    <phoneticPr fontId="4"/>
  </si>
  <si>
    <t>是非御下命戴けます様、お願い申し上げます。</t>
    <rPh sb="0" eb="2">
      <t>ゼヒ</t>
    </rPh>
    <rPh sb="2" eb="3">
      <t>ゴ</t>
    </rPh>
    <rPh sb="3" eb="4">
      <t>シタ</t>
    </rPh>
    <rPh sb="4" eb="5">
      <t>イノチ</t>
    </rPh>
    <rPh sb="5" eb="6">
      <t>イタダ</t>
    </rPh>
    <rPh sb="9" eb="10">
      <t>ヨウ</t>
    </rPh>
    <rPh sb="12" eb="13">
      <t>ネガ</t>
    </rPh>
    <rPh sb="14" eb="15">
      <t>モウ</t>
    </rPh>
    <rPh sb="16" eb="17">
      <t>ア</t>
    </rPh>
    <phoneticPr fontId="4"/>
  </si>
  <si>
    <t>御依頼を戴きました本件に付き、誠心誠意検討を加え御見積りいたしましたので</t>
    <rPh sb="0" eb="3">
      <t>ゴイライ</t>
    </rPh>
    <rPh sb="4" eb="5">
      <t>イタダ</t>
    </rPh>
    <rPh sb="9" eb="11">
      <t>ホンケン</t>
    </rPh>
    <rPh sb="12" eb="13">
      <t>ツ</t>
    </rPh>
    <rPh sb="15" eb="19">
      <t>セイシンセイイ</t>
    </rPh>
    <rPh sb="19" eb="21">
      <t>ケントウ</t>
    </rPh>
    <rPh sb="22" eb="23">
      <t>クワ</t>
    </rPh>
    <rPh sb="24" eb="27">
      <t>オミツモリ</t>
    </rPh>
    <phoneticPr fontId="4"/>
  </si>
  <si>
    <t>毎度、格別の御引立を賜り有難うございます。</t>
    <rPh sb="0" eb="2">
      <t>マイド</t>
    </rPh>
    <rPh sb="3" eb="5">
      <t>カクベツ</t>
    </rPh>
    <rPh sb="6" eb="9">
      <t>オヒキタ</t>
    </rPh>
    <rPh sb="10" eb="11">
      <t>タマワ</t>
    </rPh>
    <rPh sb="12" eb="14">
      <t>アリガト</t>
    </rPh>
    <phoneticPr fontId="4"/>
  </si>
  <si>
    <t>上原　拓</t>
    <rPh sb="0" eb="2">
      <t>ウエハラ</t>
    </rPh>
    <rPh sb="3" eb="4">
      <t>タク</t>
    </rPh>
    <phoneticPr fontId="4"/>
  </si>
  <si>
    <t>【担 当 者】</t>
    <rPh sb="1" eb="2">
      <t>タン</t>
    </rPh>
    <rPh sb="3" eb="4">
      <t>トウ</t>
    </rPh>
    <rPh sb="5" eb="6">
      <t>モノ</t>
    </rPh>
    <phoneticPr fontId="4"/>
  </si>
  <si>
    <t>別紙、工事見積確認書及び見積条件書による</t>
    <rPh sb="0" eb="2">
      <t>ベッシ</t>
    </rPh>
    <rPh sb="3" eb="5">
      <t>コウジ</t>
    </rPh>
    <rPh sb="5" eb="7">
      <t>ミツモリ</t>
    </rPh>
    <rPh sb="7" eb="10">
      <t>カクニンショ</t>
    </rPh>
    <rPh sb="10" eb="11">
      <t>オヨ</t>
    </rPh>
    <rPh sb="12" eb="14">
      <t>ミツモリ</t>
    </rPh>
    <rPh sb="14" eb="17">
      <t>ジョウケンショ</t>
    </rPh>
    <phoneticPr fontId="4"/>
  </si>
  <si>
    <t>【特記事項】</t>
    <rPh sb="1" eb="5">
      <t>トッキジコウ</t>
    </rPh>
    <phoneticPr fontId="4"/>
  </si>
  <si>
    <t>産業廃棄物に関して当社に関りがあれば着工前に産廃契約を宜しくお願いします</t>
    <rPh sb="0" eb="2">
      <t>サンギョウ</t>
    </rPh>
    <rPh sb="2" eb="5">
      <t>ハイキブツ</t>
    </rPh>
    <rPh sb="6" eb="7">
      <t>カン</t>
    </rPh>
    <rPh sb="9" eb="11">
      <t>トウシャ</t>
    </rPh>
    <rPh sb="12" eb="13">
      <t>カカワ</t>
    </rPh>
    <rPh sb="18" eb="21">
      <t>チャッコウマエ</t>
    </rPh>
    <rPh sb="22" eb="24">
      <t>サンパイ</t>
    </rPh>
    <rPh sb="24" eb="26">
      <t>ケイヤク</t>
    </rPh>
    <rPh sb="27" eb="28">
      <t>ヨロ</t>
    </rPh>
    <rPh sb="31" eb="32">
      <t>ネガ</t>
    </rPh>
    <phoneticPr fontId="4"/>
  </si>
  <si>
    <t>【産業廃棄物】</t>
    <rPh sb="1" eb="3">
      <t>サンギョウ</t>
    </rPh>
    <rPh sb="3" eb="6">
      <t>ハイキブツ</t>
    </rPh>
    <phoneticPr fontId="4"/>
  </si>
  <si>
    <t>出来高現金払 　現金100％</t>
    <rPh sb="0" eb="3">
      <t>デキダカ</t>
    </rPh>
    <rPh sb="3" eb="5">
      <t>ゲンキン</t>
    </rPh>
    <rPh sb="5" eb="6">
      <t>ハラ</t>
    </rPh>
    <rPh sb="8" eb="10">
      <t>ゲンキン</t>
    </rPh>
    <phoneticPr fontId="4"/>
  </si>
  <si>
    <t>【支払い条件】</t>
    <rPh sb="1" eb="3">
      <t>シハラ</t>
    </rPh>
    <rPh sb="4" eb="6">
      <t>ジョウケン</t>
    </rPh>
    <phoneticPr fontId="4"/>
  </si>
  <si>
    <t>3ヵ月</t>
    <rPh sb="2" eb="3">
      <t>ゲツ</t>
    </rPh>
    <phoneticPr fontId="4"/>
  </si>
  <si>
    <t>【有 効 期 限】</t>
    <rPh sb="1" eb="2">
      <t>ユウ</t>
    </rPh>
    <rPh sb="3" eb="4">
      <t>コウ</t>
    </rPh>
    <rPh sb="5" eb="6">
      <t>キ</t>
    </rPh>
    <rPh sb="7" eb="8">
      <t>カギ</t>
    </rPh>
    <phoneticPr fontId="4"/>
  </si>
  <si>
    <t>至</t>
    <rPh sb="0" eb="1">
      <t>イタ</t>
    </rPh>
    <phoneticPr fontId="4"/>
  </si>
  <si>
    <t>自</t>
    <rPh sb="0" eb="1">
      <t>ジ</t>
    </rPh>
    <phoneticPr fontId="4"/>
  </si>
  <si>
    <t>【工　　期】</t>
    <rPh sb="1" eb="2">
      <t>コウ</t>
    </rPh>
    <rPh sb="4" eb="5">
      <t>キ</t>
    </rPh>
    <phoneticPr fontId="4"/>
  </si>
  <si>
    <t>【工 事 場 所】</t>
    <rPh sb="1" eb="2">
      <t>コウ</t>
    </rPh>
    <rPh sb="3" eb="4">
      <t>コト</t>
    </rPh>
    <rPh sb="5" eb="6">
      <t>バ</t>
    </rPh>
    <rPh sb="7" eb="8">
      <t>ショ</t>
    </rPh>
    <phoneticPr fontId="4"/>
  </si>
  <si>
    <t>【工   事   名】</t>
    <rPh sb="1" eb="2">
      <t>コウ</t>
    </rPh>
    <rPh sb="5" eb="6">
      <t>コト</t>
    </rPh>
    <rPh sb="9" eb="10">
      <t>ナ</t>
    </rPh>
    <phoneticPr fontId="4"/>
  </si>
  <si>
    <t>御中</t>
    <rPh sb="0" eb="2">
      <t>オンチュウ</t>
    </rPh>
    <phoneticPr fontId="4"/>
  </si>
  <si>
    <t>御　見　積　書</t>
    <rPh sb="0" eb="1">
      <t>オ</t>
    </rPh>
    <rPh sb="2" eb="3">
      <t>ケン</t>
    </rPh>
    <rPh sb="4" eb="5">
      <t>セキ</t>
    </rPh>
    <rPh sb="6" eb="7">
      <t>ショ</t>
    </rPh>
    <phoneticPr fontId="4"/>
  </si>
  <si>
    <t>内　訳　明　細　書</t>
    <rPh sb="0" eb="1">
      <t>ナイ</t>
    </rPh>
    <rPh sb="2" eb="3">
      <t>ワケ</t>
    </rPh>
    <rPh sb="4" eb="5">
      <t>メイ</t>
    </rPh>
    <rPh sb="6" eb="7">
      <t>ホソ</t>
    </rPh>
    <rPh sb="8" eb="9">
      <t>ショ</t>
    </rPh>
    <phoneticPr fontId="4"/>
  </si>
  <si>
    <t>業　者　名</t>
    <rPh sb="0" eb="1">
      <t>ゴウ</t>
    </rPh>
    <rPh sb="2" eb="3">
      <t>モノ</t>
    </rPh>
    <rPh sb="4" eb="5">
      <t>メイ</t>
    </rPh>
    <phoneticPr fontId="4"/>
  </si>
  <si>
    <t>下請け</t>
    <rPh sb="0" eb="2">
      <t>シタウ</t>
    </rPh>
    <phoneticPr fontId="4"/>
  </si>
  <si>
    <t>名          　　称</t>
    <rPh sb="0" eb="1">
      <t>ナ</t>
    </rPh>
    <rPh sb="13" eb="14">
      <t>ショウ</t>
    </rPh>
    <phoneticPr fontId="4"/>
  </si>
  <si>
    <t>規 　　    格</t>
    <rPh sb="0" eb="1">
      <t>キ</t>
    </rPh>
    <rPh sb="8" eb="9">
      <t>カク</t>
    </rPh>
    <phoneticPr fontId="4"/>
  </si>
  <si>
    <t>数　量</t>
    <rPh sb="0" eb="1">
      <t>カズ</t>
    </rPh>
    <rPh sb="2" eb="3">
      <t>リョウ</t>
    </rPh>
    <phoneticPr fontId="4"/>
  </si>
  <si>
    <t>単　位</t>
    <rPh sb="0" eb="1">
      <t>タン</t>
    </rPh>
    <rPh sb="2" eb="3">
      <t>クライ</t>
    </rPh>
    <phoneticPr fontId="4"/>
  </si>
  <si>
    <t>単  価</t>
    <rPh sb="0" eb="1">
      <t>タン</t>
    </rPh>
    <rPh sb="3" eb="4">
      <t>アタイ</t>
    </rPh>
    <phoneticPr fontId="4"/>
  </si>
  <si>
    <t>金   額</t>
    <rPh sb="0" eb="1">
      <t>キン</t>
    </rPh>
    <rPh sb="4" eb="5">
      <t>ガク</t>
    </rPh>
    <phoneticPr fontId="4"/>
  </si>
  <si>
    <t>備   考</t>
    <rPh sb="0" eb="1">
      <t>ビ</t>
    </rPh>
    <rPh sb="4" eb="5">
      <t>コウ</t>
    </rPh>
    <phoneticPr fontId="4"/>
  </si>
  <si>
    <t>景観舗装工事</t>
    <rPh sb="0" eb="4">
      <t>ケイカンホソウ</t>
    </rPh>
    <rPh sb="4" eb="6">
      <t>コウジ</t>
    </rPh>
    <phoneticPr fontId="4"/>
  </si>
  <si>
    <t>巾0.55　端部研磨機使用</t>
    <rPh sb="0" eb="1">
      <t>ハバ</t>
    </rPh>
    <rPh sb="6" eb="8">
      <t>タンブ</t>
    </rPh>
    <rPh sb="8" eb="11">
      <t>ケンマキ</t>
    </rPh>
    <rPh sb="11" eb="13">
      <t>シヨウ</t>
    </rPh>
    <phoneticPr fontId="4"/>
  </si>
  <si>
    <t>㎡</t>
    <phoneticPr fontId="4"/>
  </si>
  <si>
    <t>直  接  工  事  費</t>
    <rPh sb="0" eb="1">
      <t>チョク</t>
    </rPh>
    <rPh sb="3" eb="4">
      <t>セッ</t>
    </rPh>
    <rPh sb="6" eb="7">
      <t>コウ</t>
    </rPh>
    <rPh sb="9" eb="10">
      <t>コト</t>
    </rPh>
    <rPh sb="12" eb="13">
      <t>ヒ</t>
    </rPh>
    <phoneticPr fontId="4"/>
  </si>
  <si>
    <t>機  械  回  送  費</t>
    <phoneticPr fontId="4"/>
  </si>
  <si>
    <t>福岡～愛媛　ユニック車　乗用車</t>
    <rPh sb="0" eb="3">
      <t>フクオカカラ</t>
    </rPh>
    <rPh sb="3" eb="5">
      <t>エヒメ</t>
    </rPh>
    <rPh sb="10" eb="11">
      <t>シャ</t>
    </rPh>
    <rPh sb="12" eb="15">
      <t>ジョウヨウシャ</t>
    </rPh>
    <phoneticPr fontId="4"/>
  </si>
  <si>
    <t>往復</t>
    <rPh sb="0" eb="2">
      <t>オウフク</t>
    </rPh>
    <phoneticPr fontId="4"/>
  </si>
  <si>
    <t>諸　　経　　費</t>
    <rPh sb="0" eb="1">
      <t>ショ</t>
    </rPh>
    <rPh sb="3" eb="4">
      <t>ヘ</t>
    </rPh>
    <rPh sb="6" eb="7">
      <t>ヒ</t>
    </rPh>
    <phoneticPr fontId="4"/>
  </si>
  <si>
    <t>宿泊費含む</t>
    <rPh sb="0" eb="4">
      <t>シュクハクヒフク</t>
    </rPh>
    <phoneticPr fontId="4"/>
  </si>
  <si>
    <t>法  定  福  利  費</t>
    <rPh sb="0" eb="1">
      <t>ホウ</t>
    </rPh>
    <rPh sb="3" eb="4">
      <t>サダム</t>
    </rPh>
    <rPh sb="6" eb="7">
      <t>フク</t>
    </rPh>
    <rPh sb="9" eb="10">
      <t>リ</t>
    </rPh>
    <rPh sb="12" eb="13">
      <t>ヒ</t>
    </rPh>
    <phoneticPr fontId="4"/>
  </si>
  <si>
    <t>1人経費込み</t>
    <rPh sb="1" eb="2">
      <t>ニン</t>
    </rPh>
    <rPh sb="2" eb="5">
      <t>ケイヒコ</t>
    </rPh>
    <phoneticPr fontId="4"/>
  </si>
  <si>
    <t>小　　　　　計</t>
    <rPh sb="0" eb="1">
      <t>ショウ</t>
    </rPh>
    <rPh sb="6" eb="7">
      <t>ケイ</t>
    </rPh>
    <phoneticPr fontId="4"/>
  </si>
  <si>
    <t>※雨天の際は施工中止とさせていただきます。</t>
    <rPh sb="1" eb="3">
      <t>ウテン</t>
    </rPh>
    <rPh sb="4" eb="5">
      <t>サイ</t>
    </rPh>
    <rPh sb="6" eb="10">
      <t>セコウチュウシ</t>
    </rPh>
    <phoneticPr fontId="4"/>
  </si>
  <si>
    <t>※研掃ガラの産廃処理費は含まれておりません。</t>
    <rPh sb="1" eb="3">
      <t>ケンソウ</t>
    </rPh>
    <rPh sb="6" eb="11">
      <t>サンパイショリヒ</t>
    </rPh>
    <rPh sb="12" eb="13">
      <t>フク</t>
    </rPh>
    <phoneticPr fontId="4"/>
  </si>
  <si>
    <t>※機械仕上げできない箇所はグラインダー又はJETタガネ(電気)使用いたします。(端部)</t>
    <rPh sb="1" eb="3">
      <t>キカイ</t>
    </rPh>
    <rPh sb="3" eb="5">
      <t>シア</t>
    </rPh>
    <rPh sb="10" eb="12">
      <t>カショ</t>
    </rPh>
    <rPh sb="19" eb="20">
      <t>マタ</t>
    </rPh>
    <rPh sb="28" eb="30">
      <t>デンキ</t>
    </rPh>
    <rPh sb="31" eb="33">
      <t>シヨウ</t>
    </rPh>
    <rPh sb="40" eb="42">
      <t>タンブ</t>
    </rPh>
    <phoneticPr fontId="4"/>
  </si>
  <si>
    <t>研掃工　B工区</t>
    <rPh sb="0" eb="2">
      <t>ケンソウ</t>
    </rPh>
    <rPh sb="2" eb="3">
      <t>コウ</t>
    </rPh>
    <rPh sb="5" eb="7">
      <t>コウクコウク</t>
    </rPh>
    <phoneticPr fontId="4"/>
  </si>
  <si>
    <t>研掃工　C工区</t>
    <rPh sb="0" eb="3">
      <t>ケンソウコウ</t>
    </rPh>
    <rPh sb="5" eb="7">
      <t>コウク</t>
    </rPh>
    <phoneticPr fontId="4"/>
  </si>
  <si>
    <t>研掃工　D工区</t>
    <rPh sb="0" eb="3">
      <t>ケンソウコウ</t>
    </rPh>
    <rPh sb="5" eb="7">
      <t>コウク</t>
    </rPh>
    <phoneticPr fontId="4"/>
  </si>
  <si>
    <t>研掃工　E工区</t>
    <rPh sb="0" eb="3">
      <t>ケンソウコウ</t>
    </rPh>
    <rPh sb="5" eb="7">
      <t>コウク</t>
    </rPh>
    <phoneticPr fontId="4"/>
  </si>
  <si>
    <t>研掃工A～E工区　総計</t>
    <rPh sb="0" eb="3">
      <t>ケンソウコウ</t>
    </rPh>
    <rPh sb="6" eb="8">
      <t>コウク</t>
    </rPh>
    <rPh sb="9" eb="11">
      <t>ソウケイ</t>
    </rPh>
    <phoneticPr fontId="4"/>
  </si>
  <si>
    <t>社会保険料率　　　　　　　　＝15.938％</t>
    <phoneticPr fontId="4"/>
  </si>
  <si>
    <t>研掃工</t>
    <rPh sb="0" eb="2">
      <t>ケンソウ</t>
    </rPh>
    <rPh sb="2" eb="3">
      <t>コウ</t>
    </rPh>
    <phoneticPr fontId="4"/>
  </si>
  <si>
    <t>内訳書別添え</t>
    <rPh sb="0" eb="3">
      <t>ウチワケショ</t>
    </rPh>
    <rPh sb="3" eb="5">
      <t>ベツゾ</t>
    </rPh>
    <phoneticPr fontId="4"/>
  </si>
  <si>
    <t>巾1.0　端部研磨機使用</t>
    <rPh sb="0" eb="1">
      <t>ハバ</t>
    </rPh>
    <rPh sb="5" eb="7">
      <t>タンブ</t>
    </rPh>
    <rPh sb="7" eb="10">
      <t>ケンマキ</t>
    </rPh>
    <rPh sb="10" eb="12">
      <t>シヨウ</t>
    </rPh>
    <phoneticPr fontId="4"/>
  </si>
  <si>
    <t>西九州ニチレキ工事株式会社 長崎営業所</t>
    <rPh sb="0" eb="3">
      <t>ニシキュウシュウ</t>
    </rPh>
    <rPh sb="7" eb="9">
      <t>コウジ</t>
    </rPh>
    <rPh sb="9" eb="13">
      <t>カブシキガイシャ</t>
    </rPh>
    <rPh sb="14" eb="16">
      <t>ナガサキ</t>
    </rPh>
    <rPh sb="16" eb="19">
      <t>エイギョウショ</t>
    </rPh>
    <phoneticPr fontId="4"/>
  </si>
  <si>
    <t>福岡～長崎　ユニック車　乗用車</t>
    <rPh sb="0" eb="3">
      <t>フクオカカラ</t>
    </rPh>
    <rPh sb="3" eb="5">
      <t>ナガサキ</t>
    </rPh>
    <rPh sb="10" eb="11">
      <t>シャ</t>
    </rPh>
    <rPh sb="12" eb="15">
      <t>ジョウヨウシャ</t>
    </rPh>
    <phoneticPr fontId="4"/>
  </si>
  <si>
    <t>昼間施工　１日</t>
    <rPh sb="0" eb="4">
      <t>ヒルマセコウ</t>
    </rPh>
    <rPh sb="6" eb="7">
      <t>ニチ</t>
    </rPh>
    <phoneticPr fontId="4"/>
  </si>
  <si>
    <t>端 数 調 整</t>
    <rPh sb="0" eb="1">
      <t>ハジ</t>
    </rPh>
    <rPh sb="2" eb="3">
      <t>スウ</t>
    </rPh>
    <rPh sb="4" eb="5">
      <t>チョウ</t>
    </rPh>
    <rPh sb="6" eb="7">
      <t>ヒトシ</t>
    </rPh>
    <phoneticPr fontId="4"/>
  </si>
  <si>
    <t>研掃工　１種ケレン</t>
    <rPh sb="0" eb="3">
      <t>ケンソウコウ</t>
    </rPh>
    <phoneticPr fontId="4"/>
  </si>
  <si>
    <t>市道久原住宅常盤団地線交差点美装化工事</t>
    <rPh sb="15" eb="16">
      <t>シュケレ</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</si>
</sst>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
    <numFmt numFmtId="177" formatCode="#,##0_ "/>
    <numFmt numFmtId="178" formatCode="#,###"/>
    <numFmt numFmtId="179" formatCode="#,##0.0;[Red]\-#,##0.0"/>
    <numFmt numFmtId="180" formatCode="0.0_ "/>
    <numFmt numFmtId="181" formatCode="&quot;¥&quot;#,###"/>
    <numFmt numFmtId="182" formatCode="&quot;¥&quot;#,###;[Red]#,###"/>
    <numFmt numFmtId="183" formatCode="[$-F800]dddd\,\ mmmm\ dd\,\ yyyy"/>
    <numFmt numFmtId="184" formatCode="yyyy&quot;年&quot;m&quot;月&quot;d&quot;日&quot;;@"/>
    <numFmt numFmtId="185" formatCode="0.0"/>
  </numFmts>
  <fonts count="29">
    <font>
      <sz val="11"/>
      <color theme="1"/>
      <name val="游ゴシック"/>
      <family val="2"/>
      <charset val="128"/>
      <scheme val="minor"/>
    </font>
    <font>
      <sz val="11"/>
      <color theme="1"/>
      <name val="游ゴシック"/>
      <family val="2"/>
      <charset val="128"/>
      <scheme val="minor"/>
    </font>
    <font>
      <sz val="11"/>
      <color rgb="FFFF0000"/>
      <name val="游ゴシック"/>
      <family val="2"/>
      <charset val="128"/>
      <scheme val="minor"/>
    </font>
    <font>
      <sz val="11"/>
      <color theme="1"/>
      <name val="HG丸ｺﾞｼｯｸM-PRO"/>
      <family val="3"/>
      <charset val="128"/>
    </font>
    <font>
      <sz val="6"/>
      <name val="游ゴシック"/>
      <family val="2"/>
      <charset val="128"/>
      <scheme val="minor"/>
    </font>
    <font>
      <sz val="11"/>
      <color rgb="FFFF0000"/>
      <name val="HG丸ｺﾞｼｯｸM-PRO"/>
      <family val="3"/>
      <charset val="128"/>
    </font>
    <font>
      <b/>
      <sz val="11"/>
      <color rgb="FFFF0000"/>
      <name val="HG丸ｺﾞｼｯｸM-PRO"/>
      <family val="3"/>
      <charset val="128"/>
    </font>
    <font>
      <b/>
      <sz val="11"/>
      <color rgb="FF0070C0"/>
      <name val="HG丸ｺﾞｼｯｸM-PRO"/>
      <family val="3"/>
      <charset val="128"/>
    </font>
    <font>
      <b/>
      <sz val="11"/>
      <color theme="1"/>
      <name val="HG丸ｺﾞｼｯｸM-PRO"/>
      <family val="3"/>
      <charset val="128"/>
    </font>
    <font>
      <sz val="11"/>
      <name val="HG丸ｺﾞｼｯｸM-PRO"/>
      <family val="3"/>
      <charset val="128"/>
    </font>
    <font>
      <b/>
      <sz val="12"/>
      <color rgb="FF002060"/>
      <name val="HG丸ｺﾞｼｯｸM-PRO"/>
      <family val="3"/>
      <charset val="128"/>
    </font>
    <font>
      <sz val="11"/>
      <name val="ＭＳ Ｐゴシック"/>
      <family val="3"/>
      <charset val="128"/>
    </font>
    <font>
      <sz val="8"/>
      <name val="HG丸ｺﾞｼｯｸM-PRO"/>
      <family val="3"/>
      <charset val="128"/>
    </font>
    <font>
      <b/>
      <sz val="18"/>
      <color theme="1"/>
      <name val="HG丸ｺﾞｼｯｸM-PRO"/>
      <family val="3"/>
      <charset val="128"/>
    </font>
    <font>
      <sz val="18"/>
      <color theme="1"/>
      <name val="HG丸ｺﾞｼｯｸM-PRO"/>
      <family val="3"/>
      <charset val="128"/>
    </font>
    <font>
      <b/>
      <sz val="22"/>
      <color rgb="FFFF0000"/>
      <name val="HG丸ｺﾞｼｯｸM-PRO"/>
      <family val="3"/>
      <charset val="128"/>
    </font>
    <font>
      <sz val="14"/>
      <name val="HG丸ｺﾞｼｯｸM-PRO"/>
      <family val="3"/>
      <charset val="128"/>
    </font>
    <font>
      <b/>
      <sz val="16"/>
      <color theme="1"/>
      <name val="HG丸ｺﾞｼｯｸM-PRO"/>
      <family val="3"/>
      <charset val="128"/>
    </font>
    <font>
      <b/>
      <i/>
      <u val="double"/>
      <sz val="20"/>
      <color theme="1"/>
      <name val="HG丸ｺﾞｼｯｸM-PRO"/>
      <family val="3"/>
      <charset val="128"/>
    </font>
    <font>
      <b/>
      <i/>
      <u/>
      <sz val="14"/>
      <color theme="1"/>
      <name val="游ゴシック"/>
      <family val="3"/>
      <charset val="128"/>
      <scheme val="minor"/>
    </font>
    <font>
      <b/>
      <sz val="11"/>
      <color rgb="FF0070C0"/>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9.5"/>
      <color theme="1"/>
      <name val="游ゴシック"/>
      <family val="2"/>
      <charset val="128"/>
      <scheme val="minor"/>
    </font>
    <font>
      <sz val="11"/>
      <name val="游ゴシック"/>
      <family val="2"/>
      <charset val="128"/>
      <scheme val="minor"/>
    </font>
    <font>
      <sz val="9.5"/>
      <color rgb="FFFF0000"/>
      <name val="游ゴシック"/>
      <family val="3"/>
      <charset val="128"/>
      <scheme val="minor"/>
    </font>
    <font>
      <sz val="11"/>
      <color rgb="FFFF0000"/>
      <name val="游ゴシック"/>
      <family val="3"/>
      <charset val="128"/>
      <scheme val="minor"/>
    </font>
    <font>
      <sz val="9"/>
      <color theme="1"/>
      <name val="游ゴシック"/>
      <family val="2"/>
      <charset val="128"/>
      <scheme val="minor"/>
    </font>
    <font>
      <sz val="9.5"/>
      <color rgb="FFFF0000"/>
      <name val="游ゴシック"/>
      <family val="2"/>
      <charset val="128"/>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9300"/>
        <bgColor indexed="64"/>
      </patternFill>
    </fill>
  </fills>
  <borders count="72">
    <border>
      <left/>
      <right/>
      <top/>
      <bottom/>
      <diagonal/>
    </border>
    <border>
      <left/>
      <right/>
      <top style="medium">
        <color indexed="64"/>
      </top>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hair">
        <color indexed="64"/>
      </left>
      <right style="medium">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bottom style="medium">
        <color indexed="64"/>
      </bottom>
      <diagonal/>
    </border>
    <border>
      <left style="medium">
        <color indexed="64"/>
      </left>
      <right style="hair">
        <color indexed="64"/>
      </right>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hair">
        <color indexed="64"/>
      </left>
      <right style="medium">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right style="thin">
        <color indexed="64"/>
      </right>
      <top style="hair">
        <color indexed="64"/>
      </top>
      <bottom style="double">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medium">
        <color indexed="64"/>
      </left>
      <right style="hair">
        <color indexed="64"/>
      </right>
      <top style="hair">
        <color indexed="64"/>
      </top>
      <bottom style="double">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right style="hair">
        <color indexed="64"/>
      </right>
      <top style="double">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style="hair">
        <color indexed="64"/>
      </right>
      <top style="medium">
        <color indexed="64"/>
      </top>
      <bottom style="double">
        <color indexed="64"/>
      </bottom>
      <diagonal/>
    </border>
    <border>
      <left/>
      <right/>
      <top/>
      <bottom style="double">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hair">
        <color indexed="64"/>
      </bottom>
      <diagonal/>
    </border>
    <border>
      <left/>
      <right/>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1" fillId="0" borderId="0"/>
  </cellStyleXfs>
  <cellXfs count="221">
    <xf numFmtId="0" fontId="0" fillId="0" borderId="0" xfId="0">
      <alignment vertical="center"/>
    </xf>
    <xf numFmtId="0" fontId="3" fillId="0" borderId="0" xfId="0" applyFont="1" applyAlignment="1">
      <alignment vertical="center" shrinkToFit="1"/>
    </xf>
    <xf numFmtId="0" fontId="3" fillId="0" borderId="11" xfId="0" applyFont="1" applyBorder="1" applyAlignment="1">
      <alignment vertical="center" shrinkToFit="1"/>
    </xf>
    <xf numFmtId="0" fontId="3" fillId="0" borderId="0" xfId="0" applyFont="1" applyAlignment="1">
      <alignment horizontal="center" vertical="center" shrinkToFit="1"/>
    </xf>
    <xf numFmtId="0" fontId="3" fillId="0" borderId="0" xfId="0" applyFont="1">
      <alignment vertical="center"/>
    </xf>
    <xf numFmtId="0" fontId="12" fillId="0" borderId="0" xfId="3" applyFont="1" applyAlignment="1">
      <alignment vertical="center" wrapText="1"/>
    </xf>
    <xf numFmtId="0" fontId="15" fillId="0" borderId="0" xfId="0" applyFont="1" applyAlignment="1">
      <alignment horizontal="center" vertical="center" shrinkToFit="1"/>
    </xf>
    <xf numFmtId="0" fontId="15" fillId="0" borderId="0" xfId="0" applyFont="1" applyAlignment="1">
      <alignment horizontal="center" vertical="center"/>
    </xf>
    <xf numFmtId="0" fontId="12" fillId="0" borderId="0" xfId="3" applyFont="1" applyAlignment="1">
      <alignment wrapText="1"/>
    </xf>
    <xf numFmtId="0" fontId="3" fillId="0" borderId="30" xfId="0" applyFont="1" applyBorder="1" applyAlignment="1">
      <alignment vertical="center" shrinkToFit="1"/>
    </xf>
    <xf numFmtId="0" fontId="14" fillId="0" borderId="0" xfId="0" applyFont="1" applyAlignment="1">
      <alignment vertical="center" shrinkToFit="1"/>
    </xf>
    <xf numFmtId="0" fontId="16" fillId="0" borderId="0" xfId="3" applyFont="1"/>
    <xf numFmtId="0" fontId="3" fillId="0" borderId="1" xfId="0" applyFont="1" applyBorder="1" applyAlignment="1">
      <alignment vertical="center" shrinkToFit="1"/>
    </xf>
    <xf numFmtId="0" fontId="18" fillId="0" borderId="0" xfId="0" applyFont="1" applyAlignment="1">
      <alignment vertical="center" shrinkToFit="1"/>
    </xf>
    <xf numFmtId="184" fontId="3" fillId="0" borderId="0" xfId="0" applyNumberFormat="1" applyFont="1" applyAlignment="1">
      <alignment vertical="center" shrinkToFit="1"/>
    </xf>
    <xf numFmtId="0" fontId="0" fillId="2" borderId="56" xfId="0" applyFill="1" applyBorder="1" applyAlignment="1">
      <alignment horizontal="center" vertical="center"/>
    </xf>
    <xf numFmtId="0" fontId="0" fillId="2" borderId="57" xfId="0" applyFill="1" applyBorder="1" applyAlignment="1">
      <alignment horizontal="center" vertical="center"/>
    </xf>
    <xf numFmtId="38" fontId="0" fillId="2" borderId="57" xfId="1" applyFont="1" applyFill="1" applyBorder="1" applyAlignment="1">
      <alignment horizontal="center" vertical="center"/>
    </xf>
    <xf numFmtId="0" fontId="0" fillId="2" borderId="58" xfId="0" applyFill="1" applyBorder="1" applyAlignment="1">
      <alignment horizontal="center" vertical="center"/>
    </xf>
    <xf numFmtId="0" fontId="21" fillId="0" borderId="56" xfId="0" applyFont="1" applyBorder="1">
      <alignment vertical="center"/>
    </xf>
    <xf numFmtId="0" fontId="0" fillId="0" borderId="57" xfId="0" applyBorder="1">
      <alignment vertical="center"/>
    </xf>
    <xf numFmtId="38" fontId="0" fillId="0" borderId="57" xfId="1" applyFont="1" applyBorder="1" applyAlignment="1">
      <alignment vertical="center"/>
    </xf>
    <xf numFmtId="0" fontId="0" fillId="0" borderId="58" xfId="0" applyBorder="1">
      <alignment vertical="center"/>
    </xf>
    <xf numFmtId="0" fontId="0" fillId="0" borderId="57" xfId="0" applyBorder="1" applyAlignment="1">
      <alignment horizontal="center" vertical="center"/>
    </xf>
    <xf numFmtId="38" fontId="0" fillId="0" borderId="57" xfId="1" applyFont="1" applyBorder="1" applyAlignment="1">
      <alignment horizontal="center" vertical="center"/>
    </xf>
    <xf numFmtId="38" fontId="0" fillId="0" borderId="57" xfId="1" applyFont="1" applyBorder="1">
      <alignment vertical="center"/>
    </xf>
    <xf numFmtId="0" fontId="22" fillId="0" borderId="56" xfId="0" applyFont="1" applyBorder="1" applyAlignment="1">
      <alignment horizontal="left" vertical="center" indent="1"/>
    </xf>
    <xf numFmtId="0" fontId="23" fillId="0" borderId="59" xfId="0" applyFont="1" applyBorder="1">
      <alignment vertical="center"/>
    </xf>
    <xf numFmtId="185" fontId="0" fillId="0" borderId="57" xfId="0" applyNumberFormat="1" applyBorder="1" applyAlignment="1">
      <alignment horizontal="center" vertical="center"/>
    </xf>
    <xf numFmtId="38" fontId="0" fillId="0" borderId="59" xfId="1" applyFont="1" applyBorder="1" applyAlignment="1">
      <alignment horizontal="center" vertical="center"/>
    </xf>
    <xf numFmtId="38" fontId="24" fillId="0" borderId="57" xfId="1" applyFont="1" applyBorder="1" applyAlignment="1">
      <alignment vertical="center"/>
    </xf>
    <xf numFmtId="38" fontId="0" fillId="0" borderId="0" xfId="1" applyFont="1">
      <alignment vertical="center"/>
    </xf>
    <xf numFmtId="38" fontId="0" fillId="0" borderId="0" xfId="0" applyNumberFormat="1">
      <alignment vertical="center"/>
    </xf>
    <xf numFmtId="0" fontId="25" fillId="0" borderId="59" xfId="0" applyFont="1" applyBorder="1">
      <alignment vertical="center"/>
    </xf>
    <xf numFmtId="185" fontId="26" fillId="0" borderId="57" xfId="0" applyNumberFormat="1" applyFont="1" applyBorder="1" applyAlignment="1">
      <alignment horizontal="center" vertical="center"/>
    </xf>
    <xf numFmtId="38" fontId="26" fillId="0" borderId="57" xfId="1" applyFont="1" applyBorder="1" applyAlignment="1">
      <alignment horizontal="center" vertical="center"/>
    </xf>
    <xf numFmtId="38" fontId="26" fillId="0" borderId="57" xfId="1" applyFont="1" applyBorder="1" applyAlignment="1">
      <alignment vertical="center"/>
    </xf>
    <xf numFmtId="38" fontId="0" fillId="0" borderId="61" xfId="1" applyFont="1" applyBorder="1" applyAlignment="1">
      <alignment horizontal="center" vertical="center"/>
    </xf>
    <xf numFmtId="0" fontId="27" fillId="0" borderId="59" xfId="0" applyFont="1" applyBorder="1">
      <alignment vertical="center"/>
    </xf>
    <xf numFmtId="0" fontId="0" fillId="0" borderId="58" xfId="0" applyBorder="1" applyAlignment="1">
      <alignment horizontal="left" vertical="center"/>
    </xf>
    <xf numFmtId="0" fontId="21" fillId="0" borderId="4" xfId="0" applyFont="1" applyBorder="1" applyAlignment="1">
      <alignment horizontal="center" vertical="center"/>
    </xf>
    <xf numFmtId="0" fontId="0" fillId="0" borderId="3" xfId="0" applyBorder="1">
      <alignment vertical="center"/>
    </xf>
    <xf numFmtId="185" fontId="0" fillId="0" borderId="3" xfId="0" applyNumberFormat="1" applyBorder="1" applyAlignment="1">
      <alignment horizontal="center" vertical="center"/>
    </xf>
    <xf numFmtId="38" fontId="0" fillId="0" borderId="24" xfId="1" applyFont="1" applyBorder="1" applyAlignment="1">
      <alignment horizontal="center" vertical="center"/>
    </xf>
    <xf numFmtId="38" fontId="0" fillId="0" borderId="3" xfId="1" applyFont="1" applyBorder="1" applyAlignment="1">
      <alignment vertical="center"/>
    </xf>
    <xf numFmtId="0" fontId="0" fillId="0" borderId="2" xfId="0" applyBorder="1">
      <alignment vertical="center"/>
    </xf>
    <xf numFmtId="38" fontId="21" fillId="0" borderId="57" xfId="1" applyFont="1" applyBorder="1">
      <alignment vertical="center"/>
    </xf>
    <xf numFmtId="0" fontId="21" fillId="0" borderId="62" xfId="0" applyFont="1" applyBorder="1" applyAlignment="1">
      <alignment vertical="top"/>
    </xf>
    <xf numFmtId="0" fontId="21" fillId="0" borderId="0" xfId="0" applyFont="1" applyAlignment="1">
      <alignment vertical="top"/>
    </xf>
    <xf numFmtId="0" fontId="21" fillId="0" borderId="63" xfId="0" applyFont="1" applyBorder="1" applyAlignment="1">
      <alignment vertical="top"/>
    </xf>
    <xf numFmtId="38" fontId="0" fillId="0" borderId="0" xfId="1" applyFont="1" applyBorder="1">
      <alignment vertical="center"/>
    </xf>
    <xf numFmtId="38" fontId="21" fillId="0" borderId="0" xfId="1" applyFont="1" applyBorder="1">
      <alignment vertical="center"/>
    </xf>
    <xf numFmtId="0" fontId="21" fillId="0" borderId="64" xfId="0" applyFont="1" applyBorder="1" applyAlignment="1">
      <alignment vertical="top"/>
    </xf>
    <xf numFmtId="0" fontId="21" fillId="0" borderId="51" xfId="0" applyFont="1" applyBorder="1" applyAlignment="1">
      <alignment vertical="top"/>
    </xf>
    <xf numFmtId="0" fontId="21" fillId="0" borderId="65" xfId="0" applyFont="1" applyBorder="1" applyAlignment="1">
      <alignment vertical="top"/>
    </xf>
    <xf numFmtId="0" fontId="28" fillId="0" borderId="59" xfId="0" applyFont="1" applyBorder="1">
      <alignment vertical="center"/>
    </xf>
    <xf numFmtId="38" fontId="24" fillId="0" borderId="57" xfId="1" applyFont="1" applyBorder="1">
      <alignment vertical="center"/>
    </xf>
    <xf numFmtId="0" fontId="22" fillId="3" borderId="56" xfId="0" applyFont="1" applyFill="1" applyBorder="1" applyAlignment="1">
      <alignment horizontal="left" vertical="center" indent="1"/>
    </xf>
    <xf numFmtId="0" fontId="28" fillId="3" borderId="67" xfId="0" applyFont="1" applyFill="1" applyBorder="1">
      <alignment vertical="center"/>
    </xf>
    <xf numFmtId="185" fontId="0" fillId="3" borderId="57" xfId="0" applyNumberFormat="1" applyFill="1" applyBorder="1" applyAlignment="1">
      <alignment horizontal="center" vertical="center"/>
    </xf>
    <xf numFmtId="38" fontId="0" fillId="3" borderId="59" xfId="1" applyFont="1" applyFill="1" applyBorder="1" applyAlignment="1">
      <alignment horizontal="center" vertical="center"/>
    </xf>
    <xf numFmtId="38" fontId="24" fillId="3" borderId="57" xfId="1" applyFont="1" applyFill="1" applyBorder="1" applyAlignment="1">
      <alignment vertical="center"/>
    </xf>
    <xf numFmtId="38" fontId="0" fillId="3" borderId="57" xfId="1" applyFont="1" applyFill="1" applyBorder="1" applyAlignment="1">
      <alignment vertical="center"/>
    </xf>
    <xf numFmtId="0" fontId="28" fillId="3" borderId="61" xfId="0" applyFont="1" applyFill="1" applyBorder="1">
      <alignment vertical="center"/>
    </xf>
    <xf numFmtId="0" fontId="0" fillId="3" borderId="60" xfId="0" applyFill="1" applyBorder="1" applyAlignment="1">
      <alignment horizontal="left" vertical="center" indent="1"/>
    </xf>
    <xf numFmtId="0" fontId="23" fillId="3" borderId="59" xfId="0" applyFont="1" applyFill="1" applyBorder="1">
      <alignment vertical="center"/>
    </xf>
    <xf numFmtId="0" fontId="21" fillId="3" borderId="60" xfId="0" applyFont="1" applyFill="1" applyBorder="1" applyAlignment="1">
      <alignment horizontal="left" vertical="center" indent="1"/>
    </xf>
    <xf numFmtId="0" fontId="21" fillId="3" borderId="56" xfId="0" applyFont="1" applyFill="1" applyBorder="1" applyAlignment="1">
      <alignment horizontal="left" vertical="center" indent="1"/>
    </xf>
    <xf numFmtId="0" fontId="21" fillId="3" borderId="56" xfId="0" applyFont="1" applyFill="1" applyBorder="1" applyAlignment="1">
      <alignment horizontal="center" vertical="center"/>
    </xf>
    <xf numFmtId="0" fontId="2" fillId="3" borderId="60" xfId="0" applyFont="1" applyFill="1" applyBorder="1" applyAlignment="1">
      <alignment horizontal="center" vertical="center"/>
    </xf>
    <xf numFmtId="0" fontId="25" fillId="3" borderId="59" xfId="0" applyFont="1" applyFill="1" applyBorder="1">
      <alignment vertical="center"/>
    </xf>
    <xf numFmtId="38" fontId="26" fillId="3" borderId="57" xfId="1" applyFont="1" applyFill="1" applyBorder="1" applyAlignment="1">
      <alignment vertical="center"/>
    </xf>
    <xf numFmtId="0" fontId="27" fillId="3" borderId="59" xfId="0" applyFont="1" applyFill="1" applyBorder="1">
      <alignment vertical="center"/>
    </xf>
    <xf numFmtId="0" fontId="0" fillId="3" borderId="57" xfId="0" applyFill="1" applyBorder="1">
      <alignment vertical="center"/>
    </xf>
    <xf numFmtId="38" fontId="0" fillId="3" borderId="57" xfId="1" applyFont="1" applyFill="1" applyBorder="1" applyAlignment="1">
      <alignment horizontal="center" vertical="center"/>
    </xf>
    <xf numFmtId="0" fontId="21" fillId="0" borderId="57" xfId="0" applyFont="1" applyBorder="1">
      <alignment vertical="center"/>
    </xf>
    <xf numFmtId="0" fontId="22" fillId="0" borderId="57" xfId="0" applyFont="1" applyBorder="1" applyAlignment="1">
      <alignment horizontal="left" vertical="center" indent="1"/>
    </xf>
    <xf numFmtId="0" fontId="0" fillId="0" borderId="59" xfId="0" applyBorder="1" applyAlignment="1">
      <alignment horizontal="left" vertical="center" indent="1"/>
    </xf>
    <xf numFmtId="0" fontId="21" fillId="0" borderId="59" xfId="0" applyFont="1" applyBorder="1" applyAlignment="1">
      <alignment horizontal="left" vertical="center" indent="1"/>
    </xf>
    <xf numFmtId="0" fontId="21" fillId="0" borderId="57" xfId="0" applyFont="1" applyBorder="1" applyAlignment="1">
      <alignment horizontal="center" vertical="center"/>
    </xf>
    <xf numFmtId="0" fontId="2" fillId="0" borderId="59" xfId="0" applyFont="1" applyBorder="1" applyAlignment="1">
      <alignment horizontal="center" vertical="center"/>
    </xf>
    <xf numFmtId="0" fontId="0" fillId="0" borderId="57" xfId="0" applyBorder="1" applyAlignment="1">
      <alignment horizontal="left" vertical="center" indent="1"/>
    </xf>
    <xf numFmtId="38" fontId="24" fillId="0" borderId="57" xfId="1" applyFont="1" applyBorder="1" applyAlignment="1">
      <alignment horizontal="center" vertical="center"/>
    </xf>
    <xf numFmtId="0" fontId="0" fillId="4" borderId="57" xfId="0" applyFill="1" applyBorder="1" applyAlignment="1">
      <alignment horizontal="center" vertical="center"/>
    </xf>
    <xf numFmtId="38" fontId="0" fillId="4" borderId="57" xfId="1" applyFont="1" applyFill="1" applyBorder="1" applyAlignment="1">
      <alignment horizontal="center" vertical="center"/>
    </xf>
    <xf numFmtId="38" fontId="7" fillId="0" borderId="3" xfId="1" applyFont="1" applyBorder="1" applyAlignment="1">
      <alignment horizontal="center" vertical="center" shrinkToFit="1"/>
    </xf>
    <xf numFmtId="176" fontId="7" fillId="0" borderId="3" xfId="2" applyNumberFormat="1" applyFont="1" applyBorder="1" applyAlignment="1">
      <alignment horizontal="center" vertical="center" shrinkToFit="1"/>
    </xf>
    <xf numFmtId="176" fontId="7" fillId="0" borderId="2" xfId="2" applyNumberFormat="1" applyFont="1" applyBorder="1" applyAlignment="1">
      <alignment horizontal="center" vertical="center" shrinkToFit="1"/>
    </xf>
    <xf numFmtId="38" fontId="6" fillId="0" borderId="1" xfId="1" applyFont="1" applyBorder="1" applyAlignment="1">
      <alignment horizontal="right" vertical="center" shrinkToFit="1"/>
    </xf>
    <xf numFmtId="0" fontId="5" fillId="0" borderId="1" xfId="0" applyFont="1" applyBorder="1" applyAlignment="1">
      <alignment horizontal="center" vertical="center" shrinkToFit="1"/>
    </xf>
    <xf numFmtId="176" fontId="5" fillId="0" borderId="0" xfId="2" applyNumberFormat="1" applyFont="1" applyAlignment="1">
      <alignment horizontal="center" vertical="center" shrinkToFit="1"/>
    </xf>
    <xf numFmtId="0" fontId="3" fillId="0" borderId="10" xfId="0" applyFont="1" applyBorder="1" applyAlignment="1">
      <alignment horizontal="center" vertical="center" shrinkToFit="1"/>
    </xf>
    <xf numFmtId="0" fontId="3" fillId="0" borderId="8" xfId="0" applyFont="1" applyBorder="1" applyAlignment="1">
      <alignment horizontal="center" vertical="center" shrinkToFit="1"/>
    </xf>
    <xf numFmtId="0" fontId="8" fillId="0" borderId="9"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3" fillId="0" borderId="6" xfId="0" applyFont="1" applyBorder="1" applyAlignment="1">
      <alignment horizontal="center" vertical="center" shrinkToFit="1"/>
    </xf>
    <xf numFmtId="0" fontId="3" fillId="0" borderId="9" xfId="0" applyFont="1" applyBorder="1" applyAlignment="1">
      <alignment horizontal="right" vertical="center" shrinkToFit="1"/>
    </xf>
    <xf numFmtId="0" fontId="3" fillId="0" borderId="6" xfId="0" applyFont="1" applyBorder="1" applyAlignment="1">
      <alignment horizontal="right" vertical="center" shrinkToFit="1"/>
    </xf>
    <xf numFmtId="0" fontId="3" fillId="0" borderId="8" xfId="0" applyFont="1" applyBorder="1" applyAlignment="1">
      <alignment horizontal="right" vertical="center" shrinkToFit="1"/>
    </xf>
    <xf numFmtId="177" fontId="3" fillId="0" borderId="9" xfId="0" applyNumberFormat="1" applyFont="1" applyBorder="1" applyAlignment="1">
      <alignment horizontal="right" vertical="center" shrinkToFit="1"/>
    </xf>
    <xf numFmtId="177" fontId="3" fillId="0" borderId="6" xfId="0" applyNumberFormat="1" applyFont="1" applyBorder="1" applyAlignment="1">
      <alignment horizontal="right" vertical="center" shrinkToFit="1"/>
    </xf>
    <xf numFmtId="177" fontId="3" fillId="0" borderId="8" xfId="0" applyNumberFormat="1" applyFont="1" applyBorder="1" applyAlignment="1">
      <alignment horizontal="right" vertical="center" shrinkToFit="1"/>
    </xf>
    <xf numFmtId="177" fontId="8" fillId="0" borderId="9" xfId="0" applyNumberFormat="1" applyFont="1" applyBorder="1" applyAlignment="1">
      <alignment horizontal="right" vertical="center" shrinkToFit="1"/>
    </xf>
    <xf numFmtId="177" fontId="8" fillId="0" borderId="6" xfId="0" applyNumberFormat="1" applyFont="1" applyBorder="1" applyAlignment="1">
      <alignment horizontal="right" vertical="center" shrinkToFit="1"/>
    </xf>
    <xf numFmtId="177" fontId="8" fillId="0" borderId="8" xfId="0" applyNumberFormat="1" applyFont="1" applyBorder="1" applyAlignment="1">
      <alignment horizontal="right" vertical="center" shrinkToFit="1"/>
    </xf>
    <xf numFmtId="0" fontId="3" fillId="0" borderId="7" xfId="0" applyFont="1" applyBorder="1" applyAlignment="1">
      <alignment horizontal="center" vertical="center" shrinkToFit="1"/>
    </xf>
    <xf numFmtId="0" fontId="3" fillId="0" borderId="5" xfId="0" applyFont="1" applyBorder="1" applyAlignment="1">
      <alignment horizontal="center" vertical="center" shrinkToFit="1"/>
    </xf>
    <xf numFmtId="38" fontId="5" fillId="0" borderId="4" xfId="1" applyFont="1" applyBorder="1" applyAlignment="1">
      <alignment horizontal="center" vertical="center" shrinkToFit="1"/>
    </xf>
    <xf numFmtId="38" fontId="5" fillId="0" borderId="3" xfId="1"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24" xfId="0" applyFont="1" applyBorder="1" applyAlignment="1">
      <alignment horizontal="center" vertical="center" shrinkToFit="1"/>
    </xf>
    <xf numFmtId="0" fontId="10" fillId="0" borderId="24" xfId="0" applyFont="1" applyBorder="1" applyAlignment="1">
      <alignment horizontal="center" vertical="center" shrinkToFit="1"/>
    </xf>
    <xf numFmtId="0" fontId="10" fillId="0" borderId="23" xfId="0" applyFont="1" applyBorder="1" applyAlignment="1">
      <alignment horizontal="center" vertical="center" shrinkToFit="1"/>
    </xf>
    <xf numFmtId="0" fontId="3" fillId="0" borderId="22" xfId="0" applyFont="1" applyBorder="1" applyAlignment="1">
      <alignment horizontal="center" vertical="center" shrinkToFit="1"/>
    </xf>
    <xf numFmtId="0" fontId="3" fillId="0" borderId="21" xfId="0" applyFont="1" applyBorder="1" applyAlignment="1">
      <alignment horizontal="center" vertical="center" shrinkToFit="1"/>
    </xf>
    <xf numFmtId="0" fontId="9" fillId="0" borderId="17" xfId="0" applyFont="1" applyBorder="1" applyAlignment="1">
      <alignment horizontal="center" vertical="center" shrinkToFit="1"/>
    </xf>
    <xf numFmtId="0" fontId="9" fillId="0" borderId="16" xfId="0" applyFont="1" applyBorder="1" applyAlignment="1">
      <alignment horizontal="center" vertical="center" shrinkToFit="1"/>
    </xf>
    <xf numFmtId="0" fontId="9" fillId="0" borderId="21" xfId="0" applyFont="1" applyBorder="1" applyAlignment="1">
      <alignment horizontal="center" vertical="center" shrinkToFit="1"/>
    </xf>
    <xf numFmtId="0" fontId="3" fillId="0" borderId="17" xfId="0" applyFont="1" applyBorder="1" applyAlignment="1">
      <alignment horizontal="left" vertical="center" shrinkToFit="1"/>
    </xf>
    <xf numFmtId="0" fontId="3" fillId="0" borderId="16" xfId="0" applyFont="1" applyBorder="1" applyAlignment="1">
      <alignment horizontal="left" vertical="center" shrinkToFit="1"/>
    </xf>
    <xf numFmtId="0" fontId="3" fillId="0" borderId="21" xfId="0" applyFont="1" applyBorder="1" applyAlignment="1">
      <alignment horizontal="left" vertical="center" shrinkToFit="1"/>
    </xf>
    <xf numFmtId="179" fontId="3" fillId="0" borderId="17" xfId="1" applyNumberFormat="1" applyFont="1" applyBorder="1" applyAlignment="1">
      <alignment horizontal="center" vertical="center" shrinkToFit="1"/>
    </xf>
    <xf numFmtId="179" fontId="3" fillId="0" borderId="16" xfId="1" applyNumberFormat="1" applyFont="1" applyBorder="1" applyAlignment="1">
      <alignment horizontal="center" vertical="center" shrinkToFit="1"/>
    </xf>
    <xf numFmtId="179" fontId="3" fillId="0" borderId="21" xfId="1" applyNumberFormat="1" applyFont="1" applyBorder="1" applyAlignment="1">
      <alignment horizontal="center" vertical="center" shrinkToFit="1"/>
    </xf>
    <xf numFmtId="0" fontId="3" fillId="0" borderId="17" xfId="0" applyFont="1" applyBorder="1" applyAlignment="1">
      <alignment horizontal="center" vertical="center" shrinkToFit="1"/>
    </xf>
    <xf numFmtId="177" fontId="9" fillId="0" borderId="17" xfId="0" applyNumberFormat="1" applyFont="1" applyBorder="1" applyAlignment="1">
      <alignment horizontal="right" vertical="center" shrinkToFit="1"/>
    </xf>
    <xf numFmtId="177" fontId="9" fillId="0" borderId="16" xfId="0" applyNumberFormat="1" applyFont="1" applyBorder="1" applyAlignment="1">
      <alignment horizontal="right" vertical="center" shrinkToFit="1"/>
    </xf>
    <xf numFmtId="177" fontId="9" fillId="0" borderId="21" xfId="0" applyNumberFormat="1" applyFont="1" applyBorder="1" applyAlignment="1">
      <alignment horizontal="right" vertical="center" shrinkToFit="1"/>
    </xf>
    <xf numFmtId="178" fontId="3" fillId="0" borderId="20" xfId="0" applyNumberFormat="1" applyFont="1" applyBorder="1" applyAlignment="1">
      <alignment horizontal="right" vertical="center" shrinkToFit="1"/>
    </xf>
    <xf numFmtId="178" fontId="3" fillId="0" borderId="19" xfId="0" applyNumberFormat="1" applyFont="1" applyBorder="1" applyAlignment="1">
      <alignment horizontal="right" vertical="center" shrinkToFit="1"/>
    </xf>
    <xf numFmtId="178" fontId="3" fillId="0" borderId="18" xfId="0" applyNumberFormat="1" applyFont="1" applyBorder="1" applyAlignment="1">
      <alignment horizontal="right" vertical="center" shrinkToFit="1"/>
    </xf>
    <xf numFmtId="0" fontId="3" fillId="0" borderId="16" xfId="0" applyFont="1" applyBorder="1" applyAlignment="1">
      <alignment horizontal="center" vertical="center" shrinkToFit="1"/>
    </xf>
    <xf numFmtId="0" fontId="3" fillId="0" borderId="15"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12" xfId="0" applyFont="1" applyBorder="1" applyAlignment="1">
      <alignment horizontal="center" vertical="center" shrinkToFit="1"/>
    </xf>
    <xf numFmtId="0" fontId="3" fillId="0" borderId="37" xfId="0" applyFont="1" applyBorder="1" applyAlignment="1">
      <alignment horizontal="center" vertical="center" shrinkToFit="1"/>
    </xf>
    <xf numFmtId="0" fontId="3" fillId="0" borderId="32" xfId="0" applyFont="1" applyBorder="1" applyAlignment="1">
      <alignment horizontal="center" vertical="center" shrinkToFit="1"/>
    </xf>
    <xf numFmtId="0" fontId="3" fillId="0" borderId="31" xfId="0" applyFont="1" applyBorder="1" applyAlignment="1">
      <alignment horizontal="center" vertical="center" shrinkToFit="1"/>
    </xf>
    <xf numFmtId="0" fontId="3" fillId="0" borderId="30" xfId="0" applyFont="1" applyBorder="1" applyAlignment="1">
      <alignment horizontal="center" vertical="center" shrinkToFit="1"/>
    </xf>
    <xf numFmtId="0" fontId="3" fillId="0" borderId="29" xfId="0" applyFont="1" applyBorder="1" applyAlignment="1">
      <alignment horizontal="center" vertical="center" shrinkToFit="1"/>
    </xf>
    <xf numFmtId="0" fontId="3" fillId="0" borderId="33" xfId="0" applyFont="1" applyBorder="1" applyAlignment="1">
      <alignment horizontal="left" vertical="center" shrinkToFit="1"/>
    </xf>
    <xf numFmtId="0" fontId="3" fillId="0" borderId="27" xfId="0" applyFont="1" applyBorder="1" applyAlignment="1">
      <alignment horizontal="left" vertical="center" shrinkToFit="1"/>
    </xf>
    <xf numFmtId="0" fontId="3" fillId="0" borderId="32" xfId="0" applyFont="1" applyBorder="1" applyAlignment="1">
      <alignment horizontal="left" vertical="center" shrinkToFit="1"/>
    </xf>
    <xf numFmtId="180" fontId="3" fillId="0" borderId="35" xfId="0" applyNumberFormat="1" applyFont="1" applyBorder="1" applyAlignment="1">
      <alignment horizontal="center" vertical="center" shrinkToFit="1"/>
    </xf>
    <xf numFmtId="180" fontId="3" fillId="0" borderId="36" xfId="0" applyNumberFormat="1" applyFont="1" applyBorder="1" applyAlignment="1">
      <alignment horizontal="center" vertical="center" shrinkToFit="1"/>
    </xf>
    <xf numFmtId="180" fontId="3" fillId="0" borderId="34" xfId="0" applyNumberFormat="1"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34" xfId="0" applyFont="1" applyBorder="1" applyAlignment="1">
      <alignment horizontal="center" vertical="center" shrinkToFit="1"/>
    </xf>
    <xf numFmtId="177" fontId="3" fillId="0" borderId="33" xfId="0" applyNumberFormat="1" applyFont="1" applyBorder="1" applyAlignment="1">
      <alignment horizontal="right" vertical="center" shrinkToFit="1"/>
    </xf>
    <xf numFmtId="177" fontId="3" fillId="0" borderId="27" xfId="0" applyNumberFormat="1" applyFont="1" applyBorder="1" applyAlignment="1">
      <alignment horizontal="right" vertical="center" shrinkToFit="1"/>
    </xf>
    <xf numFmtId="177" fontId="3" fillId="0" borderId="32" xfId="0" applyNumberFormat="1" applyFont="1" applyBorder="1" applyAlignment="1">
      <alignment horizontal="right" vertical="center" shrinkToFit="1"/>
    </xf>
    <xf numFmtId="178" fontId="3" fillId="0" borderId="31" xfId="0" applyNumberFormat="1" applyFont="1" applyBorder="1" applyAlignment="1">
      <alignment horizontal="right" vertical="center" shrinkToFit="1"/>
    </xf>
    <xf numFmtId="178" fontId="3" fillId="0" borderId="30" xfId="0" applyNumberFormat="1" applyFont="1" applyBorder="1" applyAlignment="1">
      <alignment horizontal="right" vertical="center" shrinkToFit="1"/>
    </xf>
    <xf numFmtId="178" fontId="3" fillId="0" borderId="29" xfId="0" applyNumberFormat="1" applyFont="1" applyBorder="1" applyAlignment="1">
      <alignment horizontal="right" vertical="center" shrinkToFit="1"/>
    </xf>
    <xf numFmtId="0" fontId="3" fillId="0" borderId="28"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26" xfId="0" applyFont="1" applyBorder="1" applyAlignment="1">
      <alignment horizontal="center" vertical="center" shrinkToFit="1"/>
    </xf>
    <xf numFmtId="0" fontId="3" fillId="0" borderId="35" xfId="0" applyFont="1" applyBorder="1" applyAlignment="1">
      <alignment horizontal="left" vertical="center" shrinkToFit="1"/>
    </xf>
    <xf numFmtId="0" fontId="3" fillId="0" borderId="36" xfId="0" applyFont="1" applyBorder="1" applyAlignment="1">
      <alignment horizontal="left" vertical="center" shrinkToFit="1"/>
    </xf>
    <xf numFmtId="0" fontId="3" fillId="0" borderId="34" xfId="0" applyFont="1" applyBorder="1" applyAlignment="1">
      <alignment horizontal="left" vertical="center" shrinkToFit="1"/>
    </xf>
    <xf numFmtId="177" fontId="5" fillId="0" borderId="33" xfId="0" applyNumberFormat="1" applyFont="1" applyBorder="1" applyAlignment="1">
      <alignment horizontal="right" vertical="center" shrinkToFit="1"/>
    </xf>
    <xf numFmtId="177" fontId="5" fillId="0" borderId="27" xfId="0" applyNumberFormat="1" applyFont="1" applyBorder="1" applyAlignment="1">
      <alignment horizontal="right" vertical="center" shrinkToFit="1"/>
    </xf>
    <xf numFmtId="177" fontId="5" fillId="0" borderId="32" xfId="0" applyNumberFormat="1" applyFont="1" applyBorder="1" applyAlignment="1">
      <alignment horizontal="right" vertical="center" shrinkToFit="1"/>
    </xf>
    <xf numFmtId="0" fontId="3" fillId="0" borderId="0" xfId="0" applyFont="1" applyAlignment="1">
      <alignment horizontal="center" vertical="center" shrinkToFit="1"/>
    </xf>
    <xf numFmtId="0" fontId="3" fillId="0" borderId="28" xfId="0" applyFont="1" applyBorder="1" applyAlignment="1">
      <alignment horizontal="left" vertical="center" shrinkToFit="1"/>
    </xf>
    <xf numFmtId="179" fontId="3" fillId="0" borderId="33" xfId="1" applyNumberFormat="1" applyFont="1" applyBorder="1" applyAlignment="1">
      <alignment horizontal="center" vertical="center" shrinkToFit="1"/>
    </xf>
    <xf numFmtId="179" fontId="3" fillId="0" borderId="27" xfId="1" applyNumberFormat="1" applyFont="1" applyBorder="1" applyAlignment="1">
      <alignment horizontal="center" vertical="center" shrinkToFit="1"/>
    </xf>
    <xf numFmtId="179" fontId="3" fillId="0" borderId="32" xfId="1" applyNumberFormat="1" applyFont="1" applyBorder="1" applyAlignment="1">
      <alignment horizontal="center" vertical="center" shrinkToFit="1"/>
    </xf>
    <xf numFmtId="0" fontId="3" fillId="0" borderId="33" xfId="0" applyFont="1" applyBorder="1" applyAlignment="1">
      <alignment horizontal="center" vertical="center" shrinkToFit="1"/>
    </xf>
    <xf numFmtId="180" fontId="3" fillId="0" borderId="35" xfId="0" applyNumberFormat="1" applyFont="1" applyBorder="1" applyAlignment="1">
      <alignment horizontal="right" vertical="center" shrinkToFit="1"/>
    </xf>
    <xf numFmtId="180" fontId="3" fillId="0" borderId="36" xfId="0" applyNumberFormat="1" applyFont="1" applyBorder="1" applyAlignment="1">
      <alignment horizontal="right" vertical="center" shrinkToFit="1"/>
    </xf>
    <xf numFmtId="180" fontId="3" fillId="0" borderId="34" xfId="0" applyNumberFormat="1" applyFont="1" applyBorder="1" applyAlignment="1">
      <alignment horizontal="right" vertical="center" shrinkToFit="1"/>
    </xf>
    <xf numFmtId="38" fontId="3" fillId="0" borderId="35" xfId="0" applyNumberFormat="1"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46" xfId="0" applyFont="1" applyBorder="1" applyAlignment="1">
      <alignment horizontal="center" vertical="center" shrinkToFit="1"/>
    </xf>
    <xf numFmtId="0" fontId="3" fillId="0" borderId="45" xfId="0" applyFont="1" applyBorder="1" applyAlignment="1">
      <alignment horizontal="center" vertical="center" shrinkToFit="1"/>
    </xf>
    <xf numFmtId="0" fontId="3" fillId="0" borderId="43" xfId="0" applyFont="1" applyBorder="1" applyAlignment="1">
      <alignment horizontal="center" vertical="center" shrinkToFit="1"/>
    </xf>
    <xf numFmtId="0" fontId="3" fillId="0" borderId="44" xfId="0" applyFont="1" applyBorder="1" applyAlignment="1">
      <alignment horizontal="center" vertical="center" shrinkToFit="1"/>
    </xf>
    <xf numFmtId="0" fontId="3" fillId="0" borderId="42" xfId="0" applyFont="1" applyBorder="1" applyAlignment="1">
      <alignment horizontal="center" vertical="center" shrinkToFit="1"/>
    </xf>
    <xf numFmtId="0" fontId="3" fillId="0" borderId="41" xfId="0" applyFont="1" applyBorder="1" applyAlignment="1">
      <alignment horizontal="center" vertical="center" shrinkToFit="1"/>
    </xf>
    <xf numFmtId="38" fontId="3" fillId="0" borderId="35" xfId="0" applyNumberFormat="1" applyFont="1" applyBorder="1" applyAlignment="1">
      <alignment vertical="center" shrinkToFit="1"/>
    </xf>
    <xf numFmtId="0" fontId="3" fillId="0" borderId="36" xfId="0" applyFont="1" applyBorder="1" applyAlignment="1">
      <alignment vertical="center" shrinkToFit="1"/>
    </xf>
    <xf numFmtId="0" fontId="3" fillId="0" borderId="34" xfId="0" applyFont="1" applyBorder="1" applyAlignment="1">
      <alignment vertical="center" shrinkToFit="1"/>
    </xf>
    <xf numFmtId="177" fontId="3" fillId="0" borderId="35" xfId="0" applyNumberFormat="1" applyFont="1" applyBorder="1" applyAlignment="1">
      <alignment horizontal="right" vertical="center" shrinkToFit="1"/>
    </xf>
    <xf numFmtId="177" fontId="3" fillId="0" borderId="36" xfId="0" applyNumberFormat="1" applyFont="1" applyBorder="1" applyAlignment="1">
      <alignment horizontal="right" vertical="center" shrinkToFit="1"/>
    </xf>
    <xf numFmtId="177" fontId="3" fillId="0" borderId="34" xfId="0" applyNumberFormat="1" applyFont="1" applyBorder="1" applyAlignment="1">
      <alignment horizontal="right" vertical="center" shrinkToFit="1"/>
    </xf>
    <xf numFmtId="0" fontId="3" fillId="0" borderId="40"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0" xfId="0" applyFont="1" applyBorder="1" applyAlignment="1">
      <alignment horizontal="left" vertical="center" shrinkToFit="1"/>
    </xf>
    <xf numFmtId="0" fontId="3" fillId="0" borderId="51" xfId="0" applyFont="1" applyBorder="1" applyAlignment="1">
      <alignment horizontal="center" vertical="center" shrinkToFit="1"/>
    </xf>
    <xf numFmtId="181" fontId="3" fillId="0" borderId="51" xfId="0" applyNumberFormat="1" applyFont="1" applyBorder="1" applyAlignment="1">
      <alignment horizontal="center" vertical="center" shrinkToFit="1"/>
    </xf>
    <xf numFmtId="182" fontId="3" fillId="0" borderId="50" xfId="0" applyNumberFormat="1" applyFont="1" applyBorder="1" applyAlignment="1">
      <alignment horizontal="center" vertical="center" shrinkToFit="1"/>
    </xf>
    <xf numFmtId="0" fontId="14" fillId="0" borderId="0" xfId="0" applyFont="1" applyAlignment="1">
      <alignment horizontal="center" vertical="center" shrinkToFit="1"/>
    </xf>
    <xf numFmtId="0" fontId="14" fillId="0" borderId="48" xfId="0" applyFont="1" applyBorder="1" applyAlignment="1">
      <alignment horizontal="center" vertical="center" shrinkToFit="1"/>
    </xf>
    <xf numFmtId="181" fontId="13" fillId="0" borderId="49" xfId="0" applyNumberFormat="1" applyFont="1" applyBorder="1" applyAlignment="1">
      <alignment horizontal="center" vertical="center" shrinkToFit="1"/>
    </xf>
    <xf numFmtId="181" fontId="13" fillId="0" borderId="48" xfId="0" applyNumberFormat="1" applyFont="1" applyBorder="1" applyAlignment="1">
      <alignment horizontal="center" vertical="center" shrinkToFit="1"/>
    </xf>
    <xf numFmtId="0" fontId="3" fillId="0" borderId="47" xfId="0" applyFont="1" applyBorder="1" applyAlignment="1">
      <alignment horizontal="center" vertical="center" shrinkToFit="1"/>
    </xf>
    <xf numFmtId="0" fontId="3" fillId="0" borderId="0" xfId="0" applyFont="1" applyAlignment="1">
      <alignment horizontal="left" vertical="center" shrinkToFit="1"/>
    </xf>
    <xf numFmtId="184" fontId="8" fillId="0" borderId="0" xfId="0" applyNumberFormat="1" applyFont="1" applyAlignment="1">
      <alignment horizontal="right" vertical="center" shrinkToFit="1"/>
    </xf>
    <xf numFmtId="0" fontId="18" fillId="0" borderId="0" xfId="0" applyFont="1" applyAlignment="1">
      <alignment horizontal="center" vertical="center" shrinkToFit="1"/>
    </xf>
    <xf numFmtId="0" fontId="13" fillId="0" borderId="0" xfId="0" applyFont="1" applyAlignment="1">
      <alignment horizontal="center" shrinkToFit="1"/>
    </xf>
    <xf numFmtId="0" fontId="13" fillId="0" borderId="53" xfId="0" applyFont="1" applyBorder="1" applyAlignment="1">
      <alignment horizontal="center" shrinkToFit="1"/>
    </xf>
    <xf numFmtId="0" fontId="17" fillId="0" borderId="0" xfId="0" applyFont="1" applyAlignment="1">
      <alignment horizontal="center" shrinkToFit="1"/>
    </xf>
    <xf numFmtId="0" fontId="3" fillId="0" borderId="52" xfId="0" applyFont="1" applyBorder="1" applyAlignment="1">
      <alignment horizontal="left" vertical="center" shrinkToFit="1"/>
    </xf>
    <xf numFmtId="183" fontId="3" fillId="0" borderId="30" xfId="0" applyNumberFormat="1" applyFont="1" applyBorder="1" applyAlignment="1">
      <alignment horizontal="center" vertical="center" shrinkToFit="1"/>
    </xf>
    <xf numFmtId="0" fontId="20" fillId="0" borderId="54" xfId="0" applyFont="1" applyBorder="1" applyAlignment="1">
      <alignment horizontal="center" vertical="center"/>
    </xf>
    <xf numFmtId="0" fontId="20" fillId="0" borderId="55" xfId="0" applyFont="1" applyBorder="1" applyAlignment="1">
      <alignment horizontal="center" vertical="center"/>
    </xf>
    <xf numFmtId="0" fontId="19" fillId="0" borderId="70" xfId="0" applyFont="1" applyBorder="1" applyAlignment="1" applyProtection="1">
      <alignment horizontal="center" vertical="center"/>
      <protection locked="0"/>
    </xf>
    <xf numFmtId="0" fontId="19" fillId="0" borderId="51" xfId="0" applyFont="1" applyBorder="1" applyAlignment="1" applyProtection="1">
      <alignment horizontal="center" vertical="center"/>
      <protection locked="0"/>
    </xf>
    <xf numFmtId="0" fontId="19" fillId="0" borderId="71" xfId="0" applyFont="1" applyBorder="1" applyAlignment="1" applyProtection="1">
      <alignment horizontal="center" vertical="center"/>
      <protection locked="0"/>
    </xf>
    <xf numFmtId="0" fontId="0" fillId="0" borderId="66" xfId="0" applyBorder="1" applyAlignment="1">
      <alignment horizontal="center" vertical="center"/>
    </xf>
    <xf numFmtId="0" fontId="0" fillId="0" borderId="68" xfId="0" applyBorder="1" applyAlignment="1">
      <alignment horizontal="center" vertical="center"/>
    </xf>
    <xf numFmtId="0" fontId="28" fillId="3" borderId="59" xfId="0" applyFont="1" applyFill="1" applyBorder="1" applyAlignment="1">
      <alignment horizontal="center" vertical="center" wrapText="1"/>
    </xf>
    <xf numFmtId="0" fontId="28" fillId="3" borderId="61" xfId="0" applyFont="1" applyFill="1" applyBorder="1" applyAlignment="1">
      <alignment horizontal="center" vertical="center" wrapText="1"/>
    </xf>
    <xf numFmtId="0" fontId="0" fillId="0" borderId="69" xfId="0" applyBorder="1" applyAlignment="1">
      <alignment horizontal="center" vertical="center"/>
    </xf>
    <xf numFmtId="3" fontId="22" fillId="0" borderId="57" xfId="0" applyNumberFormat="1" applyFont="1" applyBorder="1" applyAlignment="1">
      <alignment horizontal="center" vertical="center" wrapText="1"/>
    </xf>
    <xf numFmtId="0" fontId="19" fillId="0" borderId="0" xfId="0" applyFont="1" applyAlignment="1" applyProtection="1">
      <alignment horizontal="center" vertical="center"/>
      <protection locked="0"/>
    </xf>
  </cellXfs>
  <cellStyles count="4">
    <cellStyle name="パーセント" xfId="2" builtinId="5"/>
    <cellStyle name="桁区切り" xfId="1" builtinId="6"/>
    <cellStyle name="標準" xfId="0" builtinId="0"/>
    <cellStyle name="標準 2" xfId="3" xr:uid="{2C09D7EE-F3FA-444C-9AB0-9321D97A99E6}"/>
  </cellStyles>
  <dxfs count="0"/>
  <tableStyles count="0" defaultTableStyle="TableStyleMedium2" defaultPivotStyle="PivotStyleLight16"/>
  <colors>
    <mruColors>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68</xdr:col>
      <xdr:colOff>104775</xdr:colOff>
      <xdr:row>18</xdr:row>
      <xdr:rowOff>50800</xdr:rowOff>
    </xdr:from>
    <xdr:ext cx="3460694" cy="1158241"/>
    <xdr:sp macro="" textlink="">
      <xdr:nvSpPr>
        <xdr:cNvPr id="2" name="テキスト ボックス 1">
          <a:extLst>
            <a:ext uri="{FF2B5EF4-FFF2-40B4-BE49-F238E27FC236}">
              <a16:creationId xmlns:a16="http://schemas.microsoft.com/office/drawing/2014/main" id="{34716239-AA66-435B-BA3E-FF7C4BE23320}"/>
            </a:ext>
          </a:extLst>
        </xdr:cNvPr>
        <xdr:cNvSpPr txBox="1"/>
      </xdr:nvSpPr>
      <xdr:spPr>
        <a:xfrm>
          <a:off x="11763375" y="43370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816-0103</a:t>
          </a:r>
          <a:r>
            <a:rPr kumimoji="1" lang="ja-JP" altLang="en-US" sz="1000" b="1">
              <a:latin typeface="HG丸ｺﾞｼｯｸM-PRO" panose="020F0600000000000000" pitchFamily="50" charset="-128"/>
              <a:ea typeface="HG丸ｺﾞｼｯｸM-PRO" panose="020F0600000000000000" pitchFamily="50" charset="-128"/>
            </a:rPr>
            <a:t>　福岡県太宰府市朱雀</a:t>
          </a:r>
          <a:r>
            <a:rPr kumimoji="1" lang="en-US" altLang="ja-JP" sz="1000" b="1">
              <a:latin typeface="HG丸ｺﾞｼｯｸM-PRO" panose="020F0600000000000000" pitchFamily="50" charset="-128"/>
              <a:ea typeface="HG丸ｺﾞｼｯｸM-PRO" panose="020F0600000000000000" pitchFamily="50" charset="-128"/>
            </a:rPr>
            <a:t>5-4-27</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endParaRPr kumimoji="1" lang="ja-JP" altLang="en-US" sz="1100">
            <a:latin typeface="HG丸ｺﾞｼｯｸM-PRO" panose="020F0600000000000000" pitchFamily="50" charset="-128"/>
            <a:ea typeface="HG丸ｺﾞｼｯｸM-PRO" panose="020F0600000000000000" pitchFamily="50" charset="-128"/>
          </a:endParaRPr>
        </a:p>
      </xdr:txBody>
    </xdr:sp>
    <xdr:clientData/>
  </xdr:oneCellAnchor>
  <xdr:oneCellAnchor>
    <xdr:from>
      <xdr:col>43</xdr:col>
      <xdr:colOff>122237</xdr:colOff>
      <xdr:row>16</xdr:row>
      <xdr:rowOff>122237</xdr:rowOff>
    </xdr:from>
    <xdr:ext cx="496252" cy="512762"/>
    <xdr:pic>
      <xdr:nvPicPr>
        <xdr:cNvPr id="3" name="図 2">
          <a:extLst>
            <a:ext uri="{FF2B5EF4-FFF2-40B4-BE49-F238E27FC236}">
              <a16:creationId xmlns:a16="http://schemas.microsoft.com/office/drawing/2014/main" id="{9BA3A223-7023-4C87-B5CA-1DF5B0C6AA7D}"/>
            </a:ext>
          </a:extLst>
        </xdr:cNvPr>
        <xdr:cNvPicPr>
          <a:picLocks noChangeAspect="1"/>
        </xdr:cNvPicPr>
      </xdr:nvPicPr>
      <xdr:blipFill>
        <a:blip xmlns:r="http://schemas.openxmlformats.org/officeDocument/2006/relationships" r:embed="rId1" cstate="print"/>
        <a:stretch>
          <a:fillRect/>
        </a:stretch>
      </xdr:blipFill>
      <xdr:spPr>
        <a:xfrm>
          <a:off x="7494587" y="3932237"/>
          <a:ext cx="496252" cy="512762"/>
        </a:xfrm>
        <a:prstGeom prst="rect">
          <a:avLst/>
        </a:prstGeom>
      </xdr:spPr>
    </xdr:pic>
    <xdr:clientData/>
  </xdr:oneCellAnchor>
  <xdr:oneCellAnchor>
    <xdr:from>
      <xdr:col>38</xdr:col>
      <xdr:colOff>152400</xdr:colOff>
      <xdr:row>1</xdr:row>
      <xdr:rowOff>28575</xdr:rowOff>
    </xdr:from>
    <xdr:ext cx="2105025" cy="1102632"/>
    <xdr:pic>
      <xdr:nvPicPr>
        <xdr:cNvPr id="4" name="図 3">
          <a:extLst>
            <a:ext uri="{FF2B5EF4-FFF2-40B4-BE49-F238E27FC236}">
              <a16:creationId xmlns:a16="http://schemas.microsoft.com/office/drawing/2014/main" id="{B5737D93-1797-4C13-9A8A-5C78B6951FB7}"/>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4862" t="1746" r="-111" b="70823"/>
        <a:stretch/>
      </xdr:blipFill>
      <xdr:spPr bwMode="auto">
        <a:xfrm>
          <a:off x="6667500" y="266700"/>
          <a:ext cx="2105025" cy="11026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3175</xdr:colOff>
      <xdr:row>10</xdr:row>
      <xdr:rowOff>9525</xdr:rowOff>
    </xdr:from>
    <xdr:ext cx="807044" cy="812800"/>
    <xdr:pic>
      <xdr:nvPicPr>
        <xdr:cNvPr id="5" name="図 4">
          <a:extLst>
            <a:ext uri="{FF2B5EF4-FFF2-40B4-BE49-F238E27FC236}">
              <a16:creationId xmlns:a16="http://schemas.microsoft.com/office/drawing/2014/main" id="{77AA77E7-4E3C-45DD-92EB-1510156DE7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18425" y="2390775"/>
          <a:ext cx="807044" cy="812800"/>
        </a:xfrm>
        <a:prstGeom prst="rect">
          <a:avLst/>
        </a:prstGeom>
      </xdr:spPr>
    </xdr:pic>
    <xdr:clientData/>
  </xdr:oneCellAnchor>
  <xdr:oneCellAnchor>
    <xdr:from>
      <xdr:col>29</xdr:col>
      <xdr:colOff>133350</xdr:colOff>
      <xdr:row>10</xdr:row>
      <xdr:rowOff>76200</xdr:rowOff>
    </xdr:from>
    <xdr:ext cx="3460694" cy="1158241"/>
    <xdr:sp macro="" textlink="">
      <xdr:nvSpPr>
        <xdr:cNvPr id="6" name="テキスト ボックス 5">
          <a:extLst>
            <a:ext uri="{FF2B5EF4-FFF2-40B4-BE49-F238E27FC236}">
              <a16:creationId xmlns:a16="http://schemas.microsoft.com/office/drawing/2014/main" id="{33DD5E21-C2C7-48B3-9293-7B2E827EE343}"/>
            </a:ext>
          </a:extLst>
        </xdr:cNvPr>
        <xdr:cNvSpPr txBox="1"/>
      </xdr:nvSpPr>
      <xdr:spPr>
        <a:xfrm>
          <a:off x="5105400" y="245745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816-0912</a:t>
          </a:r>
          <a:r>
            <a:rPr kumimoji="1" lang="ja-JP" altLang="en-US" sz="1000" b="1">
              <a:latin typeface="HG丸ｺﾞｼｯｸM-PRO" panose="020F0600000000000000" pitchFamily="50" charset="-128"/>
              <a:ea typeface="HG丸ｺﾞｼｯｸM-PRO" panose="020F0600000000000000" pitchFamily="50" charset="-128"/>
            </a:rPr>
            <a:t>　福岡県大野城市御笠川</a:t>
          </a:r>
          <a:r>
            <a:rPr kumimoji="1" lang="en-US" altLang="ja-JP" sz="1000" b="1">
              <a:latin typeface="HG丸ｺﾞｼｯｸM-PRO" panose="020F0600000000000000" pitchFamily="50" charset="-128"/>
              <a:ea typeface="HG丸ｺﾞｼｯｸM-PRO" panose="020F0600000000000000" pitchFamily="50" charset="-128"/>
            </a:rPr>
            <a:t>6</a:t>
          </a:r>
          <a:r>
            <a:rPr kumimoji="1" lang="ja-JP" altLang="en-US" sz="1000" b="1">
              <a:latin typeface="HG丸ｺﾞｼｯｸM-PRO" panose="020F0600000000000000" pitchFamily="50" charset="-128"/>
              <a:ea typeface="HG丸ｺﾞｼｯｸM-PRO" panose="020F0600000000000000" pitchFamily="50" charset="-128"/>
            </a:rPr>
            <a:t>丁目</a:t>
          </a:r>
          <a:r>
            <a:rPr kumimoji="1" lang="en-US" altLang="ja-JP" sz="1000" b="1">
              <a:latin typeface="HG丸ｺﾞｼｯｸM-PRO" panose="020F0600000000000000" pitchFamily="50" charset="-128"/>
              <a:ea typeface="HG丸ｺﾞｼｯｸM-PRO" panose="020F0600000000000000" pitchFamily="50" charset="-128"/>
            </a:rPr>
            <a:t>2-5</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r>
            <a:rPr kumimoji="1" lang="en-US" altLang="ja-JP" sz="1100">
              <a:latin typeface="HG丸ｺﾞｼｯｸM-PRO" panose="020F0600000000000000" pitchFamily="50" charset="-128"/>
              <a:ea typeface="HG丸ｺﾞｼｯｸM-PRO" panose="020F0600000000000000" pitchFamily="50" charset="-128"/>
            </a:rPr>
            <a:t>125015</a:t>
          </a:r>
          <a:r>
            <a:rPr kumimoji="1" lang="ja-JP" altLang="en-US" sz="1100">
              <a:latin typeface="HG丸ｺﾞｼｯｸM-PRO" panose="020F0600000000000000" pitchFamily="50" charset="-128"/>
              <a:ea typeface="HG丸ｺﾞｼｯｸM-PRO" panose="020F0600000000000000" pitchFamily="50" charset="-128"/>
            </a:rPr>
            <a:t>日</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sv106/data/&#20491;&#20154;&#29992;/204238/&#23665;&#30000;&#25285;&#24403;&#65432;&#65420;&#65387;&#65425;&#65393;&#65413;&#65420;&#65438;&#65399;/01&#24037;&#20107;&#38306;&#20418;/01&#26410;&#25104;&#24037;&#20107;/&#12469;&#12540;&#12497;&#12473;&#34276;&#21407;&#35199;&#30010;/&#24037;&#20107;&#26376;&#22577;/&#24037;&#20107;&#26376;&#22577;2&#26376;.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97333bf1584df3a8/&#20803;&#35531;&#12501;&#12449;&#12452;&#12523;/&#12460;&#12452;&#12450;&#12540;&#12488;/R4&#23470;&#23822;&#39640;&#36895;&#12288;&#12469;&#12531;&#12518;&#12454;&#12486;&#12483;&#12463;.xlsx" TargetMode="External"/><Relationship Id="rId1" Type="http://schemas.openxmlformats.org/officeDocument/2006/relationships/externalLinkPath" Target="https://d.docs.live.net/97333bf1584df3a8/&#20803;&#35531;&#12501;&#12449;&#12452;&#12523;/&#12460;&#12452;&#12450;&#12540;&#12488;/R4&#23470;&#23822;&#39640;&#36895;&#12288;&#12469;&#12531;&#12518;&#12454;&#12486;&#12483;&#1246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報表紙"/>
      <sheetName val="工事総括"/>
      <sheetName val="工事総合進捗表"/>
      <sheetName val="状況写真"/>
      <sheetName val="状況写真 (2)"/>
      <sheetName val="状況写真 (3)"/>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再見積もり (2)"/>
      <sheetName val="床板研掃工 内訳明細書  (2)"/>
      <sheetName val="表紙  再見積もり"/>
      <sheetName val="表紙 "/>
      <sheetName val="WJハツリ～床板補修～WJ研掃"/>
      <sheetName val="床板研掃工 内訳明細書 "/>
      <sheetName val="床板補修工(人力打設)"/>
      <sheetName val="切削・残As撤去工"/>
      <sheetName val="床板研掃工　条件書 "/>
      <sheetName val="床板補修工 内訳明細書  "/>
      <sheetName val="床板補修工　歩掛明細書 "/>
      <sheetName val="床板補修工　条件書  "/>
      <sheetName val="条件書　実行"/>
      <sheetName val="確認書 (3)"/>
      <sheetName val="条件書 (5)"/>
    </sheetNames>
    <sheetDataSet>
      <sheetData sheetId="0"/>
      <sheetData sheetId="1"/>
      <sheetData sheetId="2"/>
      <sheetData sheetId="3"/>
      <sheetData sheetId="4">
        <row r="25">
          <cell r="L25" t="e">
            <v>#DIV/0!</v>
          </cell>
        </row>
      </sheetData>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6761-F7CA-4114-A197-CF898A2EA6E0}">
  <sheetPr>
    <tabColor rgb="FFFFC000"/>
    <pageSetUpPr fitToPage="1"/>
  </sheetPr>
  <dimension ref="A1:CC39"/>
  <sheetViews>
    <sheetView tabSelected="1" view="pageBreakPreview" zoomScaleNormal="100" zoomScaleSheetLayoutView="100" workbookViewId="0">
      <selection activeCell="L33" sqref="L33:AB33"/>
    </sheetView>
  </sheetViews>
  <sheetFormatPr baseColWidth="10" defaultColWidth="2.1640625" defaultRowHeight="14"/>
  <cols>
    <col min="1" max="1" width="2.1640625" style="1"/>
    <col min="2" max="4" width="2.6640625" style="1" customWidth="1"/>
    <col min="5" max="5" width="4.6640625" style="1" customWidth="1"/>
    <col min="6" max="6" width="3" style="1" customWidth="1"/>
    <col min="7" max="15" width="2.1640625" style="1"/>
    <col min="16" max="16" width="3" style="1" customWidth="1"/>
    <col min="17" max="16384" width="2.1640625" style="1"/>
  </cols>
  <sheetData>
    <row r="1" spans="1:81">
      <c r="AS1" s="202">
        <v>46031</v>
      </c>
      <c r="AT1" s="202"/>
      <c r="AU1" s="202"/>
      <c r="AV1" s="202"/>
      <c r="AW1" s="202"/>
      <c r="AX1" s="202"/>
      <c r="AY1" s="202"/>
      <c r="AZ1" s="14"/>
    </row>
    <row r="2" spans="1:81" ht="13.5" customHeight="1">
      <c r="A2" s="203" t="s">
        <v>36</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13"/>
    </row>
    <row r="3" spans="1:81" ht="13.5" customHeight="1">
      <c r="A3" s="203"/>
      <c r="B3" s="203"/>
      <c r="C3" s="203"/>
      <c r="D3" s="203"/>
      <c r="E3" s="203"/>
      <c r="F3" s="203"/>
      <c r="G3" s="203"/>
      <c r="H3" s="203"/>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203"/>
      <c r="AW3" s="203"/>
      <c r="AX3" s="203"/>
      <c r="AY3" s="203"/>
      <c r="AZ3" s="13"/>
    </row>
    <row r="4" spans="1:81" ht="13.5" customHeight="1">
      <c r="B4" s="204" t="s">
        <v>71</v>
      </c>
      <c r="C4" s="204"/>
      <c r="D4" s="204"/>
      <c r="E4" s="204"/>
      <c r="F4" s="204"/>
      <c r="G4" s="204"/>
      <c r="H4" s="204"/>
      <c r="I4" s="204"/>
      <c r="J4" s="204"/>
      <c r="K4" s="204"/>
      <c r="L4" s="204"/>
      <c r="M4" s="204"/>
      <c r="N4" s="204"/>
      <c r="O4" s="204"/>
      <c r="P4" s="204"/>
      <c r="Q4" s="206" t="s">
        <v>35</v>
      </c>
      <c r="R4" s="206"/>
      <c r="S4" s="206"/>
      <c r="T4" s="206"/>
    </row>
    <row r="5" spans="1:81" ht="14.25" customHeight="1" thickBot="1">
      <c r="B5" s="205"/>
      <c r="C5" s="205"/>
      <c r="D5" s="205"/>
      <c r="E5" s="205"/>
      <c r="F5" s="205"/>
      <c r="G5" s="205"/>
      <c r="H5" s="205"/>
      <c r="I5" s="205"/>
      <c r="J5" s="205"/>
      <c r="K5" s="205"/>
      <c r="L5" s="205"/>
      <c r="M5" s="205"/>
      <c r="N5" s="205"/>
      <c r="O5" s="205"/>
      <c r="P5" s="205"/>
      <c r="Q5" s="206"/>
      <c r="R5" s="206"/>
      <c r="S5" s="206"/>
      <c r="T5" s="206"/>
      <c r="AK5" s="11"/>
      <c r="AL5" s="11"/>
      <c r="AM5" s="11"/>
      <c r="AN5" s="11"/>
      <c r="AO5" s="11"/>
      <c r="AP5" s="11"/>
      <c r="AQ5" s="11"/>
      <c r="AR5" s="11"/>
      <c r="AS5" s="11"/>
      <c r="AT5" s="11"/>
      <c r="AU5" s="11"/>
      <c r="AV5" s="11"/>
      <c r="AW5" s="11"/>
      <c r="AX5" s="11"/>
      <c r="AY5" s="11"/>
    </row>
    <row r="6" spans="1:81" ht="9.75" customHeight="1">
      <c r="B6" s="12"/>
      <c r="C6" s="12"/>
      <c r="D6" s="12"/>
      <c r="E6" s="12"/>
      <c r="F6" s="12"/>
      <c r="G6" s="12"/>
      <c r="H6" s="12"/>
      <c r="I6" s="12"/>
      <c r="J6" s="12"/>
      <c r="K6" s="12"/>
      <c r="L6" s="12"/>
      <c r="M6" s="12"/>
      <c r="N6" s="12"/>
      <c r="O6" s="12"/>
      <c r="P6" s="12"/>
      <c r="Q6" s="12"/>
      <c r="R6" s="12"/>
      <c r="S6" s="12"/>
      <c r="T6" s="12"/>
      <c r="AK6" s="11"/>
      <c r="AL6" s="11"/>
      <c r="AM6" s="11"/>
      <c r="AN6" s="11"/>
      <c r="AO6" s="11"/>
      <c r="AP6" s="11"/>
      <c r="AQ6" s="11"/>
      <c r="AR6" s="11"/>
      <c r="AS6" s="11"/>
      <c r="AT6" s="11"/>
      <c r="AU6" s="11"/>
      <c r="AV6" s="11"/>
      <c r="AW6" s="11"/>
      <c r="AX6" s="11"/>
      <c r="AY6" s="11"/>
      <c r="BP6" s="10"/>
      <c r="BQ6" s="10"/>
      <c r="BR6" s="10"/>
      <c r="BS6" s="10"/>
      <c r="BT6" s="10"/>
      <c r="BU6" s="10"/>
      <c r="BV6" s="10"/>
      <c r="BW6" s="10"/>
      <c r="BX6" s="10"/>
      <c r="BY6" s="10"/>
      <c r="BZ6" s="10"/>
      <c r="CA6" s="10"/>
      <c r="CB6" s="10"/>
      <c r="CC6" s="10"/>
    </row>
    <row r="7" spans="1:81" ht="13.5" customHeight="1">
      <c r="B7" s="207" t="s">
        <v>34</v>
      </c>
      <c r="C7" s="207"/>
      <c r="D7" s="207"/>
      <c r="E7" s="207"/>
      <c r="F7" s="201" t="s">
        <v>76</v>
      </c>
      <c r="G7" s="201"/>
      <c r="H7" s="201"/>
      <c r="I7" s="201"/>
      <c r="J7" s="201"/>
      <c r="K7" s="201"/>
      <c r="L7" s="201"/>
      <c r="M7" s="201"/>
      <c r="N7" s="201"/>
      <c r="O7" s="201"/>
      <c r="P7" s="201"/>
      <c r="Q7" s="201"/>
      <c r="R7" s="201"/>
      <c r="S7" s="201"/>
      <c r="T7" s="201"/>
      <c r="U7" s="201"/>
      <c r="V7" s="201"/>
      <c r="W7" s="201"/>
      <c r="X7" s="201"/>
      <c r="Y7" s="201"/>
      <c r="Z7" s="201"/>
      <c r="AA7" s="201"/>
      <c r="AB7" s="201"/>
      <c r="AC7" s="201"/>
      <c r="AD7" s="201"/>
      <c r="AE7" s="201"/>
      <c r="AF7" s="201"/>
      <c r="AK7" s="8"/>
      <c r="AL7" s="8"/>
      <c r="AM7" s="8"/>
      <c r="AN7" s="8"/>
      <c r="AO7" s="8"/>
      <c r="AP7" s="8"/>
      <c r="AQ7" s="8"/>
      <c r="AR7" s="8"/>
      <c r="AS7" s="8"/>
      <c r="AT7" s="8"/>
      <c r="AU7" s="8"/>
      <c r="AV7" s="8"/>
      <c r="AW7" s="8"/>
      <c r="AX7" s="8"/>
      <c r="AY7" s="8"/>
      <c r="BA7" s="1" t="str">
        <f>F7</f>
        <v>市道久原住宅常盤団地線交差点美装化工事</v>
      </c>
      <c r="BP7" s="10"/>
      <c r="BQ7" s="10"/>
      <c r="BR7" s="10"/>
      <c r="BS7" s="10"/>
      <c r="BT7" s="10"/>
      <c r="BU7" s="10"/>
      <c r="BV7" s="10"/>
      <c r="BW7" s="10"/>
      <c r="BX7" s="10"/>
      <c r="BY7" s="10"/>
      <c r="BZ7" s="10"/>
      <c r="CA7" s="10"/>
      <c r="CB7" s="10"/>
      <c r="CC7" s="10"/>
    </row>
    <row r="8" spans="1:81" ht="13.5" customHeight="1">
      <c r="B8" s="192" t="s">
        <v>33</v>
      </c>
      <c r="C8" s="192"/>
      <c r="D8" s="192"/>
      <c r="E8" s="192"/>
      <c r="F8" s="192"/>
      <c r="G8" s="192"/>
      <c r="H8" s="192"/>
      <c r="I8" s="192"/>
      <c r="J8" s="192"/>
      <c r="K8" s="192"/>
      <c r="L8" s="192"/>
      <c r="M8" s="192"/>
      <c r="N8" s="192"/>
      <c r="O8" s="192"/>
      <c r="P8" s="192"/>
      <c r="Q8" s="192"/>
      <c r="R8" s="192"/>
      <c r="S8" s="192"/>
      <c r="T8" s="192"/>
      <c r="U8" s="192"/>
      <c r="V8" s="192"/>
      <c r="W8" s="192"/>
      <c r="X8" s="192"/>
      <c r="Y8" s="192"/>
      <c r="Z8" s="192"/>
      <c r="AA8" s="7"/>
      <c r="AB8" s="7"/>
      <c r="AC8" s="7"/>
      <c r="AD8" s="7"/>
      <c r="AK8" s="8"/>
      <c r="AL8" s="8"/>
      <c r="AM8" s="8"/>
      <c r="AN8" s="8"/>
      <c r="AO8" s="8"/>
      <c r="AP8" s="8"/>
      <c r="AQ8" s="8"/>
      <c r="AR8" s="8"/>
      <c r="AS8" s="8"/>
      <c r="AT8" s="8"/>
      <c r="AU8" s="8"/>
      <c r="AV8" s="8"/>
      <c r="AW8" s="8"/>
      <c r="AX8" s="8"/>
      <c r="AY8" s="8"/>
    </row>
    <row r="9" spans="1:81" ht="13.5" customHeight="1">
      <c r="B9" s="192" t="s">
        <v>32</v>
      </c>
      <c r="C9" s="192"/>
      <c r="D9" s="192"/>
      <c r="E9" s="192"/>
      <c r="F9" s="9" t="s">
        <v>31</v>
      </c>
      <c r="G9" s="208"/>
      <c r="H9" s="208"/>
      <c r="I9" s="208"/>
      <c r="J9" s="208"/>
      <c r="K9" s="208"/>
      <c r="L9" s="208"/>
      <c r="M9" s="208"/>
      <c r="N9" s="208"/>
      <c r="O9" s="208"/>
      <c r="P9" s="9" t="s">
        <v>30</v>
      </c>
      <c r="Q9" s="208"/>
      <c r="R9" s="208"/>
      <c r="S9" s="208"/>
      <c r="T9" s="208"/>
      <c r="U9" s="208"/>
      <c r="V9" s="208"/>
      <c r="W9" s="208"/>
      <c r="X9" s="208"/>
      <c r="Y9" s="208"/>
      <c r="Z9" s="208"/>
      <c r="AA9" s="7"/>
      <c r="AB9" s="7"/>
      <c r="AC9" s="7"/>
      <c r="AD9" s="7"/>
      <c r="AK9" s="8"/>
      <c r="AL9" s="8"/>
      <c r="AM9" s="8"/>
      <c r="AN9" s="8"/>
      <c r="AO9" s="8"/>
      <c r="AP9" s="8"/>
      <c r="AQ9" s="8"/>
      <c r="AR9" s="8"/>
      <c r="AS9" s="8"/>
      <c r="AT9" s="8"/>
      <c r="AU9" s="8"/>
      <c r="AV9" s="8"/>
      <c r="AW9" s="8"/>
      <c r="AX9" s="8"/>
      <c r="AY9" s="8"/>
      <c r="BC9" s="201"/>
      <c r="BD9" s="201"/>
      <c r="BE9" s="201"/>
      <c r="BF9" s="201"/>
      <c r="BG9" s="201"/>
      <c r="BH9" s="201"/>
      <c r="BI9" s="201"/>
      <c r="BJ9" s="201"/>
      <c r="BK9" s="201"/>
      <c r="BL9" s="201"/>
      <c r="BM9" s="201"/>
      <c r="BN9" s="201"/>
      <c r="BO9" s="201"/>
      <c r="BP9" s="201"/>
      <c r="BQ9" s="201"/>
      <c r="BR9" s="201"/>
      <c r="BS9" s="201"/>
      <c r="BT9" s="201"/>
      <c r="BU9" s="201"/>
      <c r="BV9" s="201"/>
      <c r="BW9" s="201"/>
      <c r="BX9" s="201"/>
      <c r="BY9" s="201"/>
      <c r="BZ9" s="201"/>
      <c r="CA9" s="201"/>
      <c r="CB9" s="201"/>
      <c r="CC9" s="201"/>
    </row>
    <row r="10" spans="1:81" ht="13.5" customHeight="1">
      <c r="B10" s="192" t="s">
        <v>29</v>
      </c>
      <c r="C10" s="192"/>
      <c r="D10" s="192"/>
      <c r="E10" s="192"/>
      <c r="F10" s="192" t="s">
        <v>28</v>
      </c>
      <c r="G10" s="192"/>
      <c r="H10" s="192"/>
      <c r="I10" s="192"/>
      <c r="J10" s="192"/>
      <c r="K10" s="192"/>
      <c r="L10" s="192"/>
      <c r="M10" s="192"/>
      <c r="N10" s="192"/>
      <c r="O10" s="192"/>
      <c r="P10" s="192"/>
      <c r="Q10" s="192"/>
      <c r="R10" s="192"/>
      <c r="S10" s="192"/>
      <c r="T10" s="192"/>
      <c r="U10" s="192"/>
      <c r="V10" s="192"/>
      <c r="W10" s="192"/>
      <c r="X10" s="192"/>
      <c r="Y10" s="192"/>
      <c r="Z10" s="192"/>
      <c r="AA10" s="7"/>
      <c r="AB10" s="7"/>
      <c r="AC10" s="7"/>
      <c r="AD10" s="7"/>
      <c r="AK10" s="5"/>
      <c r="AL10" s="5"/>
      <c r="AM10" s="5"/>
      <c r="AN10" s="5"/>
      <c r="AO10" s="5"/>
      <c r="AP10" s="5"/>
      <c r="AQ10" s="5"/>
      <c r="AR10" s="5"/>
      <c r="AS10" s="5"/>
      <c r="AT10" s="5"/>
      <c r="AU10" s="5"/>
      <c r="AV10" s="5"/>
      <c r="AW10" s="5"/>
      <c r="AX10" s="5"/>
      <c r="AY10" s="5"/>
    </row>
    <row r="11" spans="1:81" ht="13.5" customHeight="1">
      <c r="B11" s="192" t="s">
        <v>27</v>
      </c>
      <c r="C11" s="192"/>
      <c r="D11" s="192"/>
      <c r="E11" s="192"/>
      <c r="F11" s="192" t="s">
        <v>26</v>
      </c>
      <c r="G11" s="192"/>
      <c r="H11" s="192"/>
      <c r="I11" s="192"/>
      <c r="J11" s="192"/>
      <c r="K11" s="192"/>
      <c r="L11" s="192"/>
      <c r="M11" s="192"/>
      <c r="N11" s="192"/>
      <c r="O11" s="192"/>
      <c r="P11" s="192"/>
      <c r="Q11" s="192"/>
      <c r="R11" s="192"/>
      <c r="S11" s="192"/>
      <c r="T11" s="192"/>
      <c r="U11" s="192"/>
      <c r="V11" s="192"/>
      <c r="W11" s="192"/>
      <c r="X11" s="192"/>
      <c r="Y11" s="192"/>
      <c r="Z11" s="192"/>
      <c r="AA11" s="6"/>
      <c r="AB11" s="6"/>
      <c r="AC11" s="6"/>
      <c r="AD11" s="6"/>
      <c r="AK11" s="5"/>
      <c r="AL11" s="5"/>
      <c r="AM11" s="5"/>
      <c r="AN11" s="5"/>
      <c r="AO11" s="5"/>
      <c r="AP11" s="5"/>
      <c r="AQ11" s="5"/>
      <c r="AR11" s="5"/>
      <c r="AS11" s="5"/>
      <c r="AT11" s="5"/>
      <c r="AU11" s="5"/>
      <c r="AV11" s="5"/>
      <c r="AW11" s="5"/>
      <c r="AX11" s="5"/>
      <c r="AY11" s="5"/>
    </row>
    <row r="12" spans="1:81" ht="13.5" customHeight="1">
      <c r="B12" s="192" t="s">
        <v>25</v>
      </c>
      <c r="C12" s="192"/>
      <c r="D12" s="192"/>
      <c r="E12" s="192"/>
      <c r="F12" s="192" t="s">
        <v>24</v>
      </c>
      <c r="G12" s="192"/>
      <c r="H12" s="192"/>
      <c r="I12" s="192"/>
      <c r="J12" s="192"/>
      <c r="K12" s="192"/>
      <c r="L12" s="192"/>
      <c r="M12" s="192"/>
      <c r="N12" s="192"/>
      <c r="O12" s="192"/>
      <c r="P12" s="192"/>
      <c r="Q12" s="192"/>
      <c r="R12" s="192"/>
      <c r="S12" s="192"/>
      <c r="T12" s="192"/>
      <c r="U12" s="192"/>
      <c r="V12" s="192"/>
      <c r="W12" s="192"/>
      <c r="X12" s="192"/>
      <c r="Y12" s="192"/>
      <c r="Z12" s="192"/>
      <c r="AA12" s="6"/>
      <c r="AB12" s="6"/>
      <c r="AC12" s="6"/>
      <c r="AD12" s="6"/>
      <c r="AK12" s="5"/>
      <c r="AL12" s="5"/>
      <c r="AM12" s="5"/>
      <c r="AN12" s="5"/>
      <c r="AO12" s="5"/>
      <c r="AP12" s="5"/>
      <c r="AQ12" s="5"/>
      <c r="AR12" s="5"/>
      <c r="AS12" s="5"/>
      <c r="AT12" s="5"/>
      <c r="AU12" s="5"/>
      <c r="AV12" s="5"/>
      <c r="AW12" s="5"/>
      <c r="AX12" s="5"/>
      <c r="AY12" s="5"/>
    </row>
    <row r="13" spans="1:81" ht="13.5" customHeight="1">
      <c r="B13" s="192" t="s">
        <v>23</v>
      </c>
      <c r="C13" s="192"/>
      <c r="D13" s="192"/>
      <c r="E13" s="192"/>
      <c r="F13" s="192" t="s">
        <v>22</v>
      </c>
      <c r="G13" s="192"/>
      <c r="H13" s="192"/>
      <c r="I13" s="192"/>
      <c r="J13" s="192"/>
      <c r="K13" s="192"/>
      <c r="L13" s="192"/>
      <c r="M13" s="192"/>
      <c r="N13" s="192"/>
      <c r="O13" s="192"/>
      <c r="P13" s="192"/>
      <c r="Q13" s="192"/>
      <c r="R13" s="192"/>
      <c r="S13" s="192"/>
      <c r="T13" s="192"/>
      <c r="U13" s="192"/>
      <c r="V13" s="192"/>
      <c r="W13" s="192"/>
      <c r="X13" s="192"/>
      <c r="Y13" s="192"/>
      <c r="Z13" s="192"/>
      <c r="AA13" s="6"/>
      <c r="AB13" s="6"/>
      <c r="AC13" s="6"/>
      <c r="AD13" s="6"/>
      <c r="AK13" s="5"/>
      <c r="AL13" s="5"/>
      <c r="AM13" s="5"/>
      <c r="AN13" s="5"/>
      <c r="AO13" s="5"/>
      <c r="AP13" s="5"/>
      <c r="AQ13" s="5"/>
      <c r="AR13" s="5"/>
      <c r="AS13" s="5"/>
      <c r="AT13" s="5"/>
      <c r="AU13" s="5"/>
      <c r="AV13" s="5"/>
      <c r="AW13" s="5"/>
      <c r="AX13" s="5"/>
      <c r="AY13" s="5"/>
    </row>
    <row r="14" spans="1:81" ht="13.5" customHeight="1">
      <c r="B14" s="192" t="s">
        <v>21</v>
      </c>
      <c r="C14" s="192"/>
      <c r="D14" s="192"/>
      <c r="E14" s="192"/>
      <c r="F14" s="192" t="s">
        <v>20</v>
      </c>
      <c r="G14" s="192"/>
      <c r="H14" s="192"/>
      <c r="I14" s="192"/>
      <c r="J14" s="192"/>
      <c r="K14" s="192"/>
      <c r="L14" s="192"/>
      <c r="M14" s="192"/>
      <c r="N14" s="192"/>
      <c r="O14" s="192"/>
      <c r="P14" s="192"/>
      <c r="Q14" s="192"/>
      <c r="R14" s="192"/>
      <c r="S14" s="192"/>
      <c r="T14" s="192"/>
      <c r="U14" s="192"/>
      <c r="V14" s="192"/>
      <c r="W14" s="192"/>
      <c r="X14" s="192"/>
      <c r="Y14" s="192"/>
      <c r="Z14" s="192"/>
      <c r="AA14" s="6"/>
      <c r="AB14" s="6"/>
      <c r="AC14" s="6"/>
      <c r="AD14" s="6"/>
      <c r="AK14" s="5"/>
      <c r="AL14" s="5"/>
      <c r="AM14" s="5"/>
      <c r="AN14" s="5"/>
      <c r="AO14" s="5"/>
      <c r="AP14" s="5"/>
      <c r="AQ14" s="5"/>
      <c r="AR14" s="5"/>
      <c r="AS14" s="5"/>
      <c r="AT14" s="5"/>
      <c r="AU14" s="5"/>
      <c r="AV14" s="5"/>
      <c r="AW14" s="5"/>
      <c r="AX14" s="5"/>
      <c r="AY14" s="5"/>
    </row>
    <row r="15" spans="1:81" ht="12" customHeight="1"/>
    <row r="16" spans="1:81" ht="14.25" customHeight="1">
      <c r="B16" s="4" t="s">
        <v>19</v>
      </c>
    </row>
    <row r="17" spans="2:61" ht="14.25" customHeight="1">
      <c r="B17" s="4" t="s">
        <v>18</v>
      </c>
    </row>
    <row r="18" spans="2:61" ht="14.25" customHeight="1">
      <c r="B18" s="4" t="s">
        <v>17</v>
      </c>
    </row>
    <row r="19" spans="2:61" ht="14.25" customHeight="1">
      <c r="B19" s="4"/>
    </row>
    <row r="20" spans="2:61">
      <c r="B20" s="193" t="s">
        <v>16</v>
      </c>
      <c r="C20" s="193"/>
      <c r="D20" s="193"/>
      <c r="E20" s="193"/>
      <c r="F20" s="193"/>
      <c r="G20" s="193"/>
      <c r="H20" s="193"/>
      <c r="I20" s="193"/>
      <c r="J20" s="193"/>
      <c r="K20" s="193"/>
      <c r="L20" s="193"/>
      <c r="M20" s="193"/>
      <c r="N20" s="193"/>
      <c r="O20" s="193"/>
      <c r="P20" s="193"/>
      <c r="Q20" s="193"/>
      <c r="R20" s="193"/>
      <c r="S20" s="193"/>
      <c r="T20" s="193"/>
      <c r="U20" s="194">
        <f>AL38</f>
        <v>340000</v>
      </c>
      <c r="V20" s="194"/>
      <c r="W20" s="194"/>
      <c r="X20" s="194"/>
      <c r="Y20" s="194"/>
      <c r="Z20" s="194"/>
      <c r="AA20" s="194"/>
      <c r="AB20" s="194"/>
      <c r="AC20" s="194"/>
      <c r="AD20" s="194"/>
      <c r="AK20" s="5"/>
      <c r="AL20" s="5"/>
      <c r="AM20" s="5"/>
      <c r="AN20" s="5"/>
      <c r="AO20" s="5"/>
      <c r="AP20" s="5"/>
      <c r="AQ20" s="5"/>
      <c r="AR20" s="5"/>
      <c r="AS20" s="5"/>
      <c r="AT20" s="5"/>
      <c r="AU20" s="5"/>
      <c r="AV20" s="5"/>
      <c r="AW20" s="5"/>
      <c r="AX20" s="5"/>
      <c r="AY20" s="5"/>
    </row>
    <row r="21" spans="2:61">
      <c r="B21" s="193" t="s">
        <v>15</v>
      </c>
      <c r="C21" s="193"/>
      <c r="D21" s="193"/>
      <c r="E21" s="193"/>
      <c r="F21" s="193"/>
      <c r="G21" s="193"/>
      <c r="H21" s="193"/>
      <c r="I21" s="193"/>
      <c r="J21" s="193"/>
      <c r="K21" s="193"/>
      <c r="L21" s="193"/>
      <c r="M21" s="193"/>
      <c r="N21" s="193"/>
      <c r="O21" s="193"/>
      <c r="P21" s="193"/>
      <c r="Q21" s="193"/>
      <c r="R21" s="193"/>
      <c r="S21" s="193"/>
      <c r="T21" s="193"/>
      <c r="U21" s="195">
        <f>U20*0.1</f>
        <v>34000</v>
      </c>
      <c r="V21" s="195"/>
      <c r="W21" s="195"/>
      <c r="X21" s="195"/>
      <c r="Y21" s="195"/>
      <c r="Z21" s="195"/>
      <c r="AA21" s="195"/>
      <c r="AB21" s="195"/>
      <c r="AC21" s="195"/>
      <c r="AD21" s="195"/>
      <c r="AK21" s="4"/>
      <c r="AL21" s="4"/>
      <c r="AM21" s="4"/>
      <c r="AN21" s="4"/>
      <c r="AO21" s="4"/>
      <c r="AP21" s="5"/>
      <c r="AQ21" s="5"/>
      <c r="AR21" s="5"/>
      <c r="AS21" s="5"/>
      <c r="AT21" s="5"/>
      <c r="AU21" s="5"/>
      <c r="AV21" s="5"/>
      <c r="AW21" s="5"/>
      <c r="AX21" s="4"/>
      <c r="AY21" s="4"/>
    </row>
    <row r="22" spans="2:61">
      <c r="B22" s="196" t="s">
        <v>14</v>
      </c>
      <c r="C22" s="196"/>
      <c r="D22" s="196"/>
      <c r="E22" s="196"/>
      <c r="F22" s="196"/>
      <c r="G22" s="196"/>
      <c r="H22" s="196"/>
      <c r="I22" s="196"/>
      <c r="J22" s="196"/>
      <c r="K22" s="196"/>
      <c r="L22" s="196"/>
      <c r="M22" s="196"/>
      <c r="N22" s="196"/>
      <c r="O22" s="196"/>
      <c r="P22" s="196"/>
      <c r="Q22" s="196"/>
      <c r="R22" s="196"/>
      <c r="S22" s="196"/>
      <c r="T22" s="196"/>
      <c r="U22" s="198">
        <f>ROUND(U20*1.1,0)</f>
        <v>374000</v>
      </c>
      <c r="V22" s="198"/>
      <c r="W22" s="198"/>
      <c r="X22" s="198"/>
      <c r="Y22" s="198"/>
      <c r="Z22" s="198"/>
      <c r="AA22" s="198"/>
      <c r="AB22" s="198"/>
      <c r="AC22" s="198"/>
      <c r="AD22" s="198"/>
      <c r="AP22" s="5"/>
      <c r="AQ22" s="5"/>
      <c r="AR22" s="5"/>
      <c r="AS22" s="5"/>
      <c r="AT22" s="5"/>
      <c r="AU22" s="5"/>
      <c r="AV22" s="5"/>
      <c r="AW22" s="5"/>
    </row>
    <row r="23" spans="2:61" ht="15" thickBot="1">
      <c r="B23" s="197"/>
      <c r="C23" s="197"/>
      <c r="D23" s="197"/>
      <c r="E23" s="197"/>
      <c r="F23" s="197"/>
      <c r="G23" s="197"/>
      <c r="H23" s="197"/>
      <c r="I23" s="197"/>
      <c r="J23" s="197"/>
      <c r="K23" s="197"/>
      <c r="L23" s="197"/>
      <c r="M23" s="197"/>
      <c r="N23" s="197"/>
      <c r="O23" s="197"/>
      <c r="P23" s="197"/>
      <c r="Q23" s="197"/>
      <c r="R23" s="197"/>
      <c r="S23" s="197"/>
      <c r="T23" s="197"/>
      <c r="U23" s="199"/>
      <c r="V23" s="199"/>
      <c r="W23" s="199"/>
      <c r="X23" s="199"/>
      <c r="Y23" s="199"/>
      <c r="Z23" s="199"/>
      <c r="AA23" s="199"/>
      <c r="AB23" s="199"/>
      <c r="AC23" s="199"/>
      <c r="AD23" s="199"/>
      <c r="AP23" s="5"/>
      <c r="AQ23" s="5"/>
      <c r="AR23" s="5"/>
      <c r="AS23" s="5"/>
      <c r="AT23" s="5"/>
      <c r="AU23" s="5"/>
      <c r="AV23" s="5"/>
      <c r="AW23" s="5"/>
    </row>
    <row r="24" spans="2:61" ht="14.25" customHeight="1" thickTop="1" thickBot="1">
      <c r="B24" s="4"/>
    </row>
    <row r="25" spans="2:61" ht="15" thickBot="1">
      <c r="B25" s="200" t="s">
        <v>13</v>
      </c>
      <c r="C25" s="178"/>
      <c r="D25" s="177" t="s">
        <v>12</v>
      </c>
      <c r="E25" s="179"/>
      <c r="F25" s="179"/>
      <c r="G25" s="179"/>
      <c r="H25" s="179"/>
      <c r="I25" s="179"/>
      <c r="J25" s="179"/>
      <c r="K25" s="178"/>
      <c r="L25" s="177" t="s">
        <v>11</v>
      </c>
      <c r="M25" s="179"/>
      <c r="N25" s="179"/>
      <c r="O25" s="179"/>
      <c r="P25" s="179"/>
      <c r="Q25" s="179"/>
      <c r="R25" s="179"/>
      <c r="S25" s="179"/>
      <c r="T25" s="179"/>
      <c r="U25" s="179"/>
      <c r="V25" s="179"/>
      <c r="W25" s="179"/>
      <c r="X25" s="179"/>
      <c r="Y25" s="179"/>
      <c r="Z25" s="179"/>
      <c r="AA25" s="179"/>
      <c r="AB25" s="178"/>
      <c r="AC25" s="177" t="s">
        <v>10</v>
      </c>
      <c r="AD25" s="179"/>
      <c r="AE25" s="178"/>
      <c r="AF25" s="177" t="s">
        <v>9</v>
      </c>
      <c r="AG25" s="178"/>
      <c r="AH25" s="177" t="s">
        <v>8</v>
      </c>
      <c r="AI25" s="179"/>
      <c r="AJ25" s="179"/>
      <c r="AK25" s="178"/>
      <c r="AL25" s="177" t="s">
        <v>7</v>
      </c>
      <c r="AM25" s="179"/>
      <c r="AN25" s="179"/>
      <c r="AO25" s="179"/>
      <c r="AP25" s="179"/>
      <c r="AQ25" s="179"/>
      <c r="AR25" s="178"/>
      <c r="AS25" s="180" t="s">
        <v>6</v>
      </c>
      <c r="AT25" s="179"/>
      <c r="AU25" s="179"/>
      <c r="AV25" s="179"/>
      <c r="AW25" s="179"/>
      <c r="AX25" s="179"/>
      <c r="AY25" s="181"/>
    </row>
    <row r="26" spans="2:61" ht="15" thickTop="1">
      <c r="B26" s="182"/>
      <c r="C26" s="150"/>
      <c r="D26" s="183"/>
      <c r="E26" s="184"/>
      <c r="F26" s="184"/>
      <c r="G26" s="184"/>
      <c r="H26" s="184"/>
      <c r="I26" s="184"/>
      <c r="J26" s="184"/>
      <c r="K26" s="185"/>
      <c r="L26" s="160"/>
      <c r="M26" s="161"/>
      <c r="N26" s="161"/>
      <c r="O26" s="161"/>
      <c r="P26" s="161"/>
      <c r="Q26" s="161"/>
      <c r="R26" s="161"/>
      <c r="S26" s="161"/>
      <c r="T26" s="161"/>
      <c r="U26" s="161"/>
      <c r="V26" s="161"/>
      <c r="W26" s="161"/>
      <c r="X26" s="161"/>
      <c r="Y26" s="161"/>
      <c r="Z26" s="161"/>
      <c r="AA26" s="161"/>
      <c r="AB26" s="162"/>
      <c r="AC26" s="172"/>
      <c r="AD26" s="173"/>
      <c r="AE26" s="174"/>
      <c r="AF26" s="149"/>
      <c r="AG26" s="150"/>
      <c r="AH26" s="186"/>
      <c r="AI26" s="187"/>
      <c r="AJ26" s="187"/>
      <c r="AK26" s="188"/>
      <c r="AL26" s="154"/>
      <c r="AM26" s="155"/>
      <c r="AN26" s="155"/>
      <c r="AO26" s="155"/>
      <c r="AP26" s="155"/>
      <c r="AQ26" s="155"/>
      <c r="AR26" s="156"/>
      <c r="AS26" s="189"/>
      <c r="AT26" s="190"/>
      <c r="AU26" s="190"/>
      <c r="AV26" s="190"/>
      <c r="AW26" s="190"/>
      <c r="AX26" s="190"/>
      <c r="AY26" s="191"/>
    </row>
    <row r="27" spans="2:61">
      <c r="B27" s="138">
        <v>1</v>
      </c>
      <c r="C27" s="139"/>
      <c r="D27" s="175" t="s">
        <v>68</v>
      </c>
      <c r="E27" s="176"/>
      <c r="F27" s="176"/>
      <c r="G27" s="176"/>
      <c r="H27" s="176"/>
      <c r="I27" s="176"/>
      <c r="J27" s="176"/>
      <c r="K27" s="150"/>
      <c r="L27" s="160" t="s">
        <v>69</v>
      </c>
      <c r="M27" s="161"/>
      <c r="N27" s="161"/>
      <c r="O27" s="161"/>
      <c r="P27" s="161"/>
      <c r="Q27" s="161"/>
      <c r="R27" s="161"/>
      <c r="S27" s="161"/>
      <c r="T27" s="161"/>
      <c r="U27" s="161"/>
      <c r="V27" s="161"/>
      <c r="W27" s="161"/>
      <c r="X27" s="161"/>
      <c r="Y27" s="161"/>
      <c r="Z27" s="161"/>
      <c r="AA27" s="161"/>
      <c r="AB27" s="162"/>
      <c r="AC27" s="146">
        <v>1</v>
      </c>
      <c r="AD27" s="147"/>
      <c r="AE27" s="148"/>
      <c r="AF27" s="149" t="s">
        <v>5</v>
      </c>
      <c r="AG27" s="150"/>
      <c r="AH27" s="151"/>
      <c r="AI27" s="152"/>
      <c r="AJ27" s="152"/>
      <c r="AK27" s="153"/>
      <c r="AL27" s="154">
        <f>内訳明細書!F21</f>
        <v>340000</v>
      </c>
      <c r="AM27" s="155"/>
      <c r="AN27" s="155"/>
      <c r="AO27" s="155"/>
      <c r="AP27" s="155"/>
      <c r="AQ27" s="155"/>
      <c r="AR27" s="156"/>
      <c r="AS27" s="157"/>
      <c r="AT27" s="158"/>
      <c r="AU27" s="158"/>
      <c r="AV27" s="158"/>
      <c r="AW27" s="158"/>
      <c r="AX27" s="158"/>
      <c r="AY27" s="159"/>
    </row>
    <row r="28" spans="2:61">
      <c r="B28" s="138"/>
      <c r="C28" s="139"/>
      <c r="D28" s="140"/>
      <c r="E28" s="141"/>
      <c r="F28" s="141"/>
      <c r="G28" s="141"/>
      <c r="H28" s="141"/>
      <c r="I28" s="141"/>
      <c r="J28" s="141"/>
      <c r="K28" s="142"/>
      <c r="L28" s="160"/>
      <c r="M28" s="161"/>
      <c r="N28" s="161"/>
      <c r="O28" s="161"/>
      <c r="P28" s="161"/>
      <c r="Q28" s="161"/>
      <c r="R28" s="161"/>
      <c r="S28" s="161"/>
      <c r="T28" s="161"/>
      <c r="U28" s="161"/>
      <c r="V28" s="161"/>
      <c r="W28" s="161"/>
      <c r="X28" s="161"/>
      <c r="Y28" s="161"/>
      <c r="Z28" s="161"/>
      <c r="AA28" s="161"/>
      <c r="AB28" s="162"/>
      <c r="AC28" s="146"/>
      <c r="AD28" s="147"/>
      <c r="AE28" s="148"/>
      <c r="AF28" s="149"/>
      <c r="AG28" s="150"/>
      <c r="AH28" s="151"/>
      <c r="AI28" s="152"/>
      <c r="AJ28" s="152"/>
      <c r="AK28" s="153"/>
      <c r="AL28" s="154"/>
      <c r="AM28" s="155"/>
      <c r="AN28" s="155"/>
      <c r="AO28" s="155"/>
      <c r="AP28" s="155"/>
      <c r="AQ28" s="155"/>
      <c r="AR28" s="156"/>
      <c r="AS28" s="157"/>
      <c r="AT28" s="158"/>
      <c r="AU28" s="158"/>
      <c r="AV28" s="158"/>
      <c r="AW28" s="158"/>
      <c r="AX28" s="158"/>
      <c r="AY28" s="159"/>
    </row>
    <row r="29" spans="2:61">
      <c r="B29" s="138"/>
      <c r="C29" s="139"/>
      <c r="D29" s="140"/>
      <c r="E29" s="141"/>
      <c r="F29" s="141"/>
      <c r="G29" s="141"/>
      <c r="H29" s="141"/>
      <c r="I29" s="141"/>
      <c r="J29" s="141"/>
      <c r="K29" s="142"/>
      <c r="L29" s="160"/>
      <c r="M29" s="161"/>
      <c r="N29" s="161"/>
      <c r="O29" s="161"/>
      <c r="P29" s="161"/>
      <c r="Q29" s="161"/>
      <c r="R29" s="161"/>
      <c r="S29" s="161"/>
      <c r="T29" s="161"/>
      <c r="U29" s="161"/>
      <c r="V29" s="161"/>
      <c r="W29" s="161"/>
      <c r="X29" s="161"/>
      <c r="Y29" s="161"/>
      <c r="Z29" s="161"/>
      <c r="AA29" s="161"/>
      <c r="AB29" s="162"/>
      <c r="AC29" s="146"/>
      <c r="AD29" s="147"/>
      <c r="AE29" s="148"/>
      <c r="AF29" s="149"/>
      <c r="AG29" s="150"/>
      <c r="AH29" s="151"/>
      <c r="AI29" s="152"/>
      <c r="AJ29" s="152"/>
      <c r="AK29" s="153"/>
      <c r="AL29" s="154"/>
      <c r="AM29" s="155"/>
      <c r="AN29" s="155"/>
      <c r="AO29" s="155"/>
      <c r="AP29" s="155"/>
      <c r="AQ29" s="155"/>
      <c r="AR29" s="156"/>
      <c r="AS29" s="157"/>
      <c r="AT29" s="158"/>
      <c r="AU29" s="158"/>
      <c r="AV29" s="158"/>
      <c r="AW29" s="158"/>
      <c r="AX29" s="158"/>
      <c r="AY29" s="159"/>
    </row>
    <row r="30" spans="2:61">
      <c r="B30" s="138"/>
      <c r="C30" s="139"/>
      <c r="D30" s="140"/>
      <c r="E30" s="141"/>
      <c r="F30" s="141"/>
      <c r="G30" s="141"/>
      <c r="H30" s="141"/>
      <c r="I30" s="141"/>
      <c r="J30" s="141"/>
      <c r="K30" s="142"/>
      <c r="L30" s="160"/>
      <c r="M30" s="161"/>
      <c r="N30" s="161"/>
      <c r="O30" s="161"/>
      <c r="P30" s="161"/>
      <c r="Q30" s="161"/>
      <c r="R30" s="161"/>
      <c r="S30" s="161"/>
      <c r="T30" s="161"/>
      <c r="U30" s="161"/>
      <c r="V30" s="161"/>
      <c r="W30" s="161"/>
      <c r="X30" s="161"/>
      <c r="Y30" s="161"/>
      <c r="Z30" s="161"/>
      <c r="AA30" s="161"/>
      <c r="AB30" s="162"/>
      <c r="AC30" s="146"/>
      <c r="AD30" s="147"/>
      <c r="AE30" s="148"/>
      <c r="AF30" s="149"/>
      <c r="AG30" s="150"/>
      <c r="AH30" s="151"/>
      <c r="AI30" s="152"/>
      <c r="AJ30" s="152"/>
      <c r="AK30" s="153"/>
      <c r="AL30" s="154"/>
      <c r="AM30" s="155"/>
      <c r="AN30" s="155"/>
      <c r="AO30" s="155"/>
      <c r="AP30" s="155"/>
      <c r="AQ30" s="155"/>
      <c r="AR30" s="156"/>
      <c r="AS30" s="157"/>
      <c r="AT30" s="158"/>
      <c r="AU30" s="158"/>
      <c r="AV30" s="158"/>
      <c r="AW30" s="158"/>
      <c r="AX30" s="158"/>
      <c r="AY30" s="159"/>
      <c r="BD30" s="166"/>
      <c r="BE30" s="166"/>
      <c r="BF30" s="166"/>
      <c r="BG30" s="166"/>
      <c r="BH30" s="166"/>
      <c r="BI30" s="166"/>
    </row>
    <row r="31" spans="2:61">
      <c r="B31" s="138"/>
      <c r="C31" s="139"/>
      <c r="D31" s="140"/>
      <c r="E31" s="141"/>
      <c r="F31" s="141"/>
      <c r="G31" s="141"/>
      <c r="H31" s="141"/>
      <c r="I31" s="141"/>
      <c r="J31" s="141"/>
      <c r="K31" s="142"/>
      <c r="L31" s="160"/>
      <c r="M31" s="161"/>
      <c r="N31" s="161"/>
      <c r="O31" s="161"/>
      <c r="P31" s="161"/>
      <c r="Q31" s="161"/>
      <c r="R31" s="161"/>
      <c r="S31" s="161"/>
      <c r="T31" s="161"/>
      <c r="U31" s="161"/>
      <c r="V31" s="161"/>
      <c r="W31" s="161"/>
      <c r="X31" s="161"/>
      <c r="Y31" s="161"/>
      <c r="Z31" s="161"/>
      <c r="AA31" s="161"/>
      <c r="AB31" s="162"/>
      <c r="AC31" s="172"/>
      <c r="AD31" s="173"/>
      <c r="AE31" s="174"/>
      <c r="AF31" s="149"/>
      <c r="AG31" s="150"/>
      <c r="AH31" s="151"/>
      <c r="AI31" s="152"/>
      <c r="AJ31" s="152"/>
      <c r="AK31" s="153"/>
      <c r="AL31" s="154"/>
      <c r="AM31" s="155"/>
      <c r="AN31" s="155"/>
      <c r="AO31" s="155"/>
      <c r="AP31" s="155"/>
      <c r="AQ31" s="155"/>
      <c r="AR31" s="156"/>
      <c r="AS31" s="157"/>
      <c r="AT31" s="158"/>
      <c r="AU31" s="158"/>
      <c r="AV31" s="158"/>
      <c r="AW31" s="158"/>
      <c r="AX31" s="158"/>
      <c r="AY31" s="159"/>
      <c r="BD31" s="3"/>
      <c r="BE31" s="3"/>
      <c r="BF31" s="3"/>
      <c r="BG31" s="3"/>
      <c r="BH31" s="3"/>
      <c r="BI31" s="3"/>
    </row>
    <row r="32" spans="2:61">
      <c r="B32" s="138"/>
      <c r="C32" s="139"/>
      <c r="D32" s="140"/>
      <c r="E32" s="141"/>
      <c r="F32" s="141"/>
      <c r="G32" s="141"/>
      <c r="H32" s="141"/>
      <c r="I32" s="141"/>
      <c r="J32" s="141"/>
      <c r="K32" s="142"/>
      <c r="L32" s="160"/>
      <c r="M32" s="161"/>
      <c r="N32" s="161"/>
      <c r="O32" s="161"/>
      <c r="P32" s="161"/>
      <c r="Q32" s="161"/>
      <c r="R32" s="161"/>
      <c r="S32" s="161"/>
      <c r="T32" s="161"/>
      <c r="U32" s="161"/>
      <c r="V32" s="161"/>
      <c r="W32" s="161"/>
      <c r="X32" s="161"/>
      <c r="Y32" s="161"/>
      <c r="Z32" s="161"/>
      <c r="AA32" s="161"/>
      <c r="AB32" s="162"/>
      <c r="AC32" s="146"/>
      <c r="AD32" s="147"/>
      <c r="AE32" s="148"/>
      <c r="AF32" s="149"/>
      <c r="AG32" s="150"/>
      <c r="AH32" s="151"/>
      <c r="AI32" s="152"/>
      <c r="AJ32" s="152"/>
      <c r="AK32" s="153"/>
      <c r="AL32" s="154"/>
      <c r="AM32" s="155"/>
      <c r="AN32" s="155"/>
      <c r="AO32" s="155"/>
      <c r="AP32" s="155"/>
      <c r="AQ32" s="155"/>
      <c r="AR32" s="156"/>
      <c r="AS32" s="157"/>
      <c r="AT32" s="158"/>
      <c r="AU32" s="158"/>
      <c r="AV32" s="158"/>
      <c r="AW32" s="158"/>
      <c r="AX32" s="158"/>
      <c r="AY32" s="159"/>
      <c r="BD32" s="166"/>
      <c r="BE32" s="166"/>
      <c r="BF32" s="166"/>
      <c r="BG32" s="166"/>
      <c r="BH32" s="166"/>
      <c r="BI32" s="166"/>
    </row>
    <row r="33" spans="1:73">
      <c r="B33" s="138"/>
      <c r="C33" s="139"/>
      <c r="D33" s="140"/>
      <c r="E33" s="141"/>
      <c r="F33" s="141"/>
      <c r="G33" s="141"/>
      <c r="H33" s="141"/>
      <c r="I33" s="141"/>
      <c r="J33" s="141"/>
      <c r="K33" s="142"/>
      <c r="L33" s="167"/>
      <c r="M33" s="144"/>
      <c r="N33" s="144"/>
      <c r="O33" s="144"/>
      <c r="P33" s="144"/>
      <c r="Q33" s="144"/>
      <c r="R33" s="144"/>
      <c r="S33" s="144"/>
      <c r="T33" s="144"/>
      <c r="U33" s="144"/>
      <c r="V33" s="144"/>
      <c r="W33" s="144"/>
      <c r="X33" s="144"/>
      <c r="Y33" s="144"/>
      <c r="Z33" s="144"/>
      <c r="AA33" s="144"/>
      <c r="AB33" s="145"/>
      <c r="AC33" s="168"/>
      <c r="AD33" s="169"/>
      <c r="AE33" s="170"/>
      <c r="AF33" s="171"/>
      <c r="AG33" s="139"/>
      <c r="AH33" s="151"/>
      <c r="AI33" s="152"/>
      <c r="AJ33" s="152"/>
      <c r="AK33" s="153"/>
      <c r="AL33" s="154"/>
      <c r="AM33" s="155"/>
      <c r="AN33" s="155"/>
      <c r="AO33" s="155"/>
      <c r="AP33" s="155"/>
      <c r="AQ33" s="155"/>
      <c r="AR33" s="156"/>
      <c r="AS33" s="157"/>
      <c r="AT33" s="158"/>
      <c r="AU33" s="158"/>
      <c r="AV33" s="158"/>
      <c r="AW33" s="158"/>
      <c r="AX33" s="158"/>
      <c r="AY33" s="159"/>
      <c r="BD33" s="166"/>
      <c r="BE33" s="166"/>
      <c r="BF33" s="166"/>
      <c r="BG33" s="166"/>
      <c r="BH33" s="166"/>
      <c r="BI33" s="166"/>
    </row>
    <row r="34" spans="1:73">
      <c r="B34" s="138"/>
      <c r="C34" s="139"/>
      <c r="D34" s="140"/>
      <c r="E34" s="141"/>
      <c r="F34" s="141"/>
      <c r="G34" s="141"/>
      <c r="H34" s="141"/>
      <c r="I34" s="141"/>
      <c r="J34" s="141"/>
      <c r="K34" s="142"/>
      <c r="L34" s="160"/>
      <c r="M34" s="161"/>
      <c r="N34" s="161"/>
      <c r="O34" s="161"/>
      <c r="P34" s="161"/>
      <c r="Q34" s="161"/>
      <c r="R34" s="161"/>
      <c r="S34" s="161"/>
      <c r="T34" s="161"/>
      <c r="U34" s="161"/>
      <c r="V34" s="161"/>
      <c r="W34" s="161"/>
      <c r="X34" s="161"/>
      <c r="Y34" s="161"/>
      <c r="Z34" s="161"/>
      <c r="AA34" s="161"/>
      <c r="AB34" s="162"/>
      <c r="AC34" s="146"/>
      <c r="AD34" s="147"/>
      <c r="AE34" s="148"/>
      <c r="AF34" s="149"/>
      <c r="AG34" s="150"/>
      <c r="AH34" s="151"/>
      <c r="AI34" s="152"/>
      <c r="AJ34" s="152"/>
      <c r="AK34" s="153"/>
      <c r="AL34" s="154"/>
      <c r="AM34" s="155"/>
      <c r="AN34" s="155"/>
      <c r="AO34" s="155"/>
      <c r="AP34" s="155"/>
      <c r="AQ34" s="155"/>
      <c r="AR34" s="156"/>
      <c r="AS34" s="157"/>
      <c r="AT34" s="158"/>
      <c r="AU34" s="158"/>
      <c r="AV34" s="158"/>
      <c r="AW34" s="158"/>
      <c r="AX34" s="158"/>
      <c r="AY34" s="159"/>
      <c r="BD34" s="166"/>
      <c r="BE34" s="166"/>
      <c r="BF34" s="166"/>
      <c r="BG34" s="166"/>
      <c r="BH34" s="166"/>
      <c r="BI34" s="166"/>
    </row>
    <row r="35" spans="1:73">
      <c r="B35" s="138"/>
      <c r="C35" s="139"/>
      <c r="D35" s="140"/>
      <c r="E35" s="141"/>
      <c r="F35" s="141"/>
      <c r="G35" s="141"/>
      <c r="H35" s="141"/>
      <c r="I35" s="141"/>
      <c r="J35" s="141"/>
      <c r="K35" s="142"/>
      <c r="L35" s="143"/>
      <c r="M35" s="144"/>
      <c r="N35" s="144"/>
      <c r="O35" s="144"/>
      <c r="P35" s="144"/>
      <c r="Q35" s="144"/>
      <c r="R35" s="144"/>
      <c r="S35" s="144"/>
      <c r="T35" s="144"/>
      <c r="U35" s="144"/>
      <c r="V35" s="144"/>
      <c r="W35" s="144"/>
      <c r="X35" s="144"/>
      <c r="Y35" s="144"/>
      <c r="Z35" s="144"/>
      <c r="AA35" s="144"/>
      <c r="AB35" s="145"/>
      <c r="AC35" s="146"/>
      <c r="AD35" s="147"/>
      <c r="AE35" s="148"/>
      <c r="AF35" s="149"/>
      <c r="AG35" s="150"/>
      <c r="AH35" s="151"/>
      <c r="AI35" s="152"/>
      <c r="AJ35" s="152"/>
      <c r="AK35" s="153"/>
      <c r="AL35" s="154"/>
      <c r="AM35" s="155"/>
      <c r="AN35" s="155"/>
      <c r="AO35" s="155"/>
      <c r="AP35" s="155"/>
      <c r="AQ35" s="155"/>
      <c r="AR35" s="156"/>
      <c r="AS35" s="157"/>
      <c r="AT35" s="158"/>
      <c r="AU35" s="158"/>
      <c r="AV35" s="158"/>
      <c r="AW35" s="158"/>
      <c r="AX35" s="158"/>
      <c r="AY35" s="159"/>
    </row>
    <row r="36" spans="1:73" ht="16" thickBot="1">
      <c r="B36" s="138"/>
      <c r="C36" s="139"/>
      <c r="D36" s="140"/>
      <c r="E36" s="141"/>
      <c r="F36" s="141"/>
      <c r="G36" s="141"/>
      <c r="H36" s="141"/>
      <c r="I36" s="141"/>
      <c r="J36" s="141"/>
      <c r="K36" s="142"/>
      <c r="L36" s="160"/>
      <c r="M36" s="161"/>
      <c r="N36" s="161"/>
      <c r="O36" s="161"/>
      <c r="P36" s="161"/>
      <c r="Q36" s="161"/>
      <c r="R36" s="161"/>
      <c r="S36" s="161"/>
      <c r="T36" s="161"/>
      <c r="U36" s="161"/>
      <c r="V36" s="161"/>
      <c r="W36" s="161"/>
      <c r="X36" s="161"/>
      <c r="Y36" s="161"/>
      <c r="Z36" s="161"/>
      <c r="AA36" s="161"/>
      <c r="AB36" s="162"/>
      <c r="AC36" s="146"/>
      <c r="AD36" s="147"/>
      <c r="AE36" s="148"/>
      <c r="AF36" s="149"/>
      <c r="AG36" s="150"/>
      <c r="AH36" s="163"/>
      <c r="AI36" s="164"/>
      <c r="AJ36" s="164"/>
      <c r="AK36" s="165"/>
      <c r="AL36" s="154"/>
      <c r="AM36" s="155"/>
      <c r="AN36" s="155"/>
      <c r="AO36" s="155"/>
      <c r="AP36" s="155"/>
      <c r="AQ36" s="155"/>
      <c r="AR36" s="156"/>
      <c r="AS36" s="157"/>
      <c r="AT36" s="158"/>
      <c r="AU36" s="158"/>
      <c r="AV36" s="158"/>
      <c r="AW36" s="158"/>
      <c r="AX36" s="158"/>
      <c r="AY36" s="159"/>
      <c r="BD36" s="111"/>
      <c r="BE36" s="112"/>
      <c r="BF36" s="112"/>
      <c r="BG36" s="112"/>
      <c r="BH36" s="112"/>
      <c r="BI36" s="112"/>
      <c r="BJ36" s="112"/>
      <c r="BK36" s="112"/>
      <c r="BL36" s="112"/>
      <c r="BM36" s="113"/>
      <c r="BN36" s="113"/>
      <c r="BO36" s="113"/>
      <c r="BP36" s="113"/>
      <c r="BQ36" s="113"/>
      <c r="BR36" s="113"/>
      <c r="BS36" s="113"/>
      <c r="BT36" s="113"/>
      <c r="BU36" s="114"/>
    </row>
    <row r="37" spans="1:73" ht="15" thickBot="1">
      <c r="B37" s="115"/>
      <c r="C37" s="116"/>
      <c r="D37" s="117"/>
      <c r="E37" s="118"/>
      <c r="F37" s="118"/>
      <c r="G37" s="118"/>
      <c r="H37" s="118"/>
      <c r="I37" s="118"/>
      <c r="J37" s="118"/>
      <c r="K37" s="119"/>
      <c r="L37" s="120"/>
      <c r="M37" s="121"/>
      <c r="N37" s="121"/>
      <c r="O37" s="121"/>
      <c r="P37" s="121"/>
      <c r="Q37" s="121"/>
      <c r="R37" s="121"/>
      <c r="S37" s="121"/>
      <c r="T37" s="121"/>
      <c r="U37" s="121"/>
      <c r="V37" s="121"/>
      <c r="W37" s="121"/>
      <c r="X37" s="121"/>
      <c r="Y37" s="121"/>
      <c r="Z37" s="121"/>
      <c r="AA37" s="121"/>
      <c r="AB37" s="122"/>
      <c r="AC37" s="123"/>
      <c r="AD37" s="124"/>
      <c r="AE37" s="125"/>
      <c r="AF37" s="126"/>
      <c r="AG37" s="116"/>
      <c r="AH37" s="127"/>
      <c r="AI37" s="128"/>
      <c r="AJ37" s="128"/>
      <c r="AK37" s="129"/>
      <c r="AL37" s="130"/>
      <c r="AM37" s="131"/>
      <c r="AN37" s="131"/>
      <c r="AO37" s="131"/>
      <c r="AP37" s="131"/>
      <c r="AQ37" s="131"/>
      <c r="AR37" s="132"/>
      <c r="AS37" s="126"/>
      <c r="AT37" s="133"/>
      <c r="AU37" s="133"/>
      <c r="AV37" s="133"/>
      <c r="AW37" s="133"/>
      <c r="AX37" s="133"/>
      <c r="AY37" s="134"/>
      <c r="BD37" s="135" t="s">
        <v>4</v>
      </c>
      <c r="BE37" s="136"/>
      <c r="BF37" s="136"/>
      <c r="BG37" s="136"/>
      <c r="BH37" s="136"/>
      <c r="BI37" s="136"/>
      <c r="BJ37" s="136" t="s">
        <v>3</v>
      </c>
      <c r="BK37" s="136"/>
      <c r="BL37" s="136"/>
      <c r="BM37" s="136"/>
      <c r="BN37" s="136"/>
      <c r="BO37" s="136"/>
      <c r="BP37" s="136" t="s">
        <v>2</v>
      </c>
      <c r="BQ37" s="136"/>
      <c r="BR37" s="136"/>
      <c r="BS37" s="136"/>
      <c r="BT37" s="136"/>
      <c r="BU37" s="137"/>
    </row>
    <row r="38" spans="1:73" ht="16" thickTop="1" thickBot="1">
      <c r="A38" s="2"/>
      <c r="B38" s="91"/>
      <c r="C38" s="92"/>
      <c r="D38" s="93" t="s">
        <v>1</v>
      </c>
      <c r="E38" s="94"/>
      <c r="F38" s="94"/>
      <c r="G38" s="94"/>
      <c r="H38" s="94"/>
      <c r="I38" s="94"/>
      <c r="J38" s="94"/>
      <c r="K38" s="95"/>
      <c r="L38" s="96"/>
      <c r="M38" s="97"/>
      <c r="N38" s="97"/>
      <c r="O38" s="97"/>
      <c r="P38" s="97"/>
      <c r="Q38" s="97"/>
      <c r="R38" s="97"/>
      <c r="S38" s="97"/>
      <c r="T38" s="97"/>
      <c r="U38" s="97"/>
      <c r="V38" s="97"/>
      <c r="W38" s="97"/>
      <c r="X38" s="97"/>
      <c r="Y38" s="97"/>
      <c r="Z38" s="97"/>
      <c r="AA38" s="97"/>
      <c r="AB38" s="92"/>
      <c r="AC38" s="98"/>
      <c r="AD38" s="99"/>
      <c r="AE38" s="100"/>
      <c r="AF38" s="96"/>
      <c r="AG38" s="92"/>
      <c r="AH38" s="101"/>
      <c r="AI38" s="102"/>
      <c r="AJ38" s="102"/>
      <c r="AK38" s="103"/>
      <c r="AL38" s="104">
        <f>SUM(AL26:AR37)</f>
        <v>340000</v>
      </c>
      <c r="AM38" s="105"/>
      <c r="AN38" s="105"/>
      <c r="AO38" s="105"/>
      <c r="AP38" s="105"/>
      <c r="AQ38" s="105"/>
      <c r="AR38" s="106"/>
      <c r="AS38" s="107"/>
      <c r="AT38" s="97"/>
      <c r="AU38" s="97"/>
      <c r="AV38" s="97"/>
      <c r="AW38" s="97"/>
      <c r="AX38" s="97"/>
      <c r="AY38" s="108"/>
      <c r="BD38" s="109" t="e">
        <f>'[2]WJハツリ～床板補修～WJ研掃'!L25</f>
        <v>#DIV/0!</v>
      </c>
      <c r="BE38" s="110"/>
      <c r="BF38" s="110"/>
      <c r="BG38" s="110"/>
      <c r="BH38" s="110"/>
      <c r="BI38" s="110"/>
      <c r="BJ38" s="85" t="e">
        <f>AL38-BD38</f>
        <v>#DIV/0!</v>
      </c>
      <c r="BK38" s="85"/>
      <c r="BL38" s="85"/>
      <c r="BM38" s="85"/>
      <c r="BN38" s="85"/>
      <c r="BO38" s="85"/>
      <c r="BP38" s="86" t="e">
        <f>BD38/AL38</f>
        <v>#DIV/0!</v>
      </c>
      <c r="BQ38" s="86"/>
      <c r="BR38" s="86"/>
      <c r="BS38" s="86"/>
      <c r="BT38" s="86"/>
      <c r="BU38" s="87"/>
    </row>
    <row r="39" spans="1:73" ht="18.75" customHeight="1">
      <c r="AL39" s="88"/>
      <c r="AM39" s="88"/>
      <c r="AN39" s="88"/>
      <c r="AO39" s="88"/>
      <c r="AP39" s="88"/>
      <c r="AQ39" s="88"/>
      <c r="AR39" s="88"/>
      <c r="AS39" s="89" t="s">
        <v>0</v>
      </c>
      <c r="AT39" s="89"/>
      <c r="AU39" s="89"/>
      <c r="AV39" s="89"/>
      <c r="AW39" s="89"/>
      <c r="AX39" s="89"/>
      <c r="AY39" s="89"/>
      <c r="AZ39" s="90" t="e">
        <f>BD38/AL39</f>
        <v>#DIV/0!</v>
      </c>
      <c r="BA39" s="90"/>
      <c r="BB39" s="90"/>
      <c r="BC39" s="90"/>
    </row>
  </sheetData>
  <mergeCells count="153">
    <mergeCell ref="AS1:AY1"/>
    <mergeCell ref="A2:AY3"/>
    <mergeCell ref="B4:P5"/>
    <mergeCell ref="Q4:T5"/>
    <mergeCell ref="B7:E7"/>
    <mergeCell ref="F7:AF7"/>
    <mergeCell ref="B8:E8"/>
    <mergeCell ref="F8:Z8"/>
    <mergeCell ref="B9:E9"/>
    <mergeCell ref="G9:O9"/>
    <mergeCell ref="Q9:Z9"/>
    <mergeCell ref="BC9:CC9"/>
    <mergeCell ref="B10:E10"/>
    <mergeCell ref="F10:Z10"/>
    <mergeCell ref="B11:E11"/>
    <mergeCell ref="F11:Z11"/>
    <mergeCell ref="B12:E12"/>
    <mergeCell ref="F12:Z12"/>
    <mergeCell ref="B13:E13"/>
    <mergeCell ref="F13:Z13"/>
    <mergeCell ref="B14:E14"/>
    <mergeCell ref="F14:Z14"/>
    <mergeCell ref="B20:T20"/>
    <mergeCell ref="U20:AD20"/>
    <mergeCell ref="B21:T21"/>
    <mergeCell ref="U21:AD21"/>
    <mergeCell ref="B22:T23"/>
    <mergeCell ref="U22:AD23"/>
    <mergeCell ref="B25:C25"/>
    <mergeCell ref="D25:K25"/>
    <mergeCell ref="L25:AB25"/>
    <mergeCell ref="AC25:AE25"/>
    <mergeCell ref="AF25:AG25"/>
    <mergeCell ref="AH25:AK25"/>
    <mergeCell ref="AL25:AR25"/>
    <mergeCell ref="AS25:AY25"/>
    <mergeCell ref="B26:C26"/>
    <mergeCell ref="D26:K26"/>
    <mergeCell ref="L26:AB26"/>
    <mergeCell ref="AC26:AE26"/>
    <mergeCell ref="AF26:AG26"/>
    <mergeCell ref="AH26:AK26"/>
    <mergeCell ref="AL26:AR26"/>
    <mergeCell ref="AS26:AY26"/>
    <mergeCell ref="B27:C27"/>
    <mergeCell ref="D27:K27"/>
    <mergeCell ref="L27:AB27"/>
    <mergeCell ref="AC27:AE27"/>
    <mergeCell ref="AF27:AG27"/>
    <mergeCell ref="AH27:AK27"/>
    <mergeCell ref="AL27:AR27"/>
    <mergeCell ref="AS27:AY27"/>
    <mergeCell ref="B28:C28"/>
    <mergeCell ref="D28:K28"/>
    <mergeCell ref="L28:AB28"/>
    <mergeCell ref="AC28:AE28"/>
    <mergeCell ref="AF28:AG28"/>
    <mergeCell ref="AH28:AK28"/>
    <mergeCell ref="AL28:AR28"/>
    <mergeCell ref="AS28:AY28"/>
    <mergeCell ref="BD30:BI30"/>
    <mergeCell ref="B29:C29"/>
    <mergeCell ref="D29:K29"/>
    <mergeCell ref="L29:AB29"/>
    <mergeCell ref="AC29:AE29"/>
    <mergeCell ref="AF29:AG29"/>
    <mergeCell ref="AH29:AK29"/>
    <mergeCell ref="AL29:AR29"/>
    <mergeCell ref="AS29:AY29"/>
    <mergeCell ref="B30:C30"/>
    <mergeCell ref="D30:K30"/>
    <mergeCell ref="L30:AB30"/>
    <mergeCell ref="AC30:AE30"/>
    <mergeCell ref="AF30:AG30"/>
    <mergeCell ref="AH30:AK30"/>
    <mergeCell ref="AL30:AR30"/>
    <mergeCell ref="AS30:AY30"/>
    <mergeCell ref="B31:C31"/>
    <mergeCell ref="D31:K31"/>
    <mergeCell ref="L31:AB31"/>
    <mergeCell ref="AC31:AE31"/>
    <mergeCell ref="AF31:AG31"/>
    <mergeCell ref="AH31:AK31"/>
    <mergeCell ref="AL31:AR31"/>
    <mergeCell ref="AS31:AY31"/>
    <mergeCell ref="B32:C32"/>
    <mergeCell ref="D32:K32"/>
    <mergeCell ref="L32:AB32"/>
    <mergeCell ref="AC32:AE32"/>
    <mergeCell ref="AF32:AG32"/>
    <mergeCell ref="AH32:AK32"/>
    <mergeCell ref="AL32:AR32"/>
    <mergeCell ref="AS32:AY32"/>
    <mergeCell ref="BD32:BI34"/>
    <mergeCell ref="B33:C33"/>
    <mergeCell ref="D33:K33"/>
    <mergeCell ref="L33:AB33"/>
    <mergeCell ref="AC33:AE33"/>
    <mergeCell ref="AF33:AG33"/>
    <mergeCell ref="AH33:AK33"/>
    <mergeCell ref="AL33:AR33"/>
    <mergeCell ref="AS33:AY33"/>
    <mergeCell ref="B34:C34"/>
    <mergeCell ref="D34:K34"/>
    <mergeCell ref="L34:AB34"/>
    <mergeCell ref="AC34:AE34"/>
    <mergeCell ref="AF34:AG34"/>
    <mergeCell ref="AH34:AK34"/>
    <mergeCell ref="AL34:AR34"/>
    <mergeCell ref="AS34:AY34"/>
    <mergeCell ref="B35:C35"/>
    <mergeCell ref="D35:K35"/>
    <mergeCell ref="L35:AB35"/>
    <mergeCell ref="AC35:AE35"/>
    <mergeCell ref="AF35:AG35"/>
    <mergeCell ref="AH35:AK35"/>
    <mergeCell ref="AL35:AR35"/>
    <mergeCell ref="AS35:AY35"/>
    <mergeCell ref="B36:C36"/>
    <mergeCell ref="D36:K36"/>
    <mergeCell ref="L36:AB36"/>
    <mergeCell ref="AC36:AE36"/>
    <mergeCell ref="AF36:AG36"/>
    <mergeCell ref="AH36:AK36"/>
    <mergeCell ref="AL36:AR36"/>
    <mergeCell ref="AS36:AY36"/>
    <mergeCell ref="BD36:BL36"/>
    <mergeCell ref="BM36:BU36"/>
    <mergeCell ref="B37:C37"/>
    <mergeCell ref="D37:K37"/>
    <mergeCell ref="L37:AB37"/>
    <mergeCell ref="AC37:AE37"/>
    <mergeCell ref="AF37:AG37"/>
    <mergeCell ref="AH37:AK37"/>
    <mergeCell ref="AL37:AR37"/>
    <mergeCell ref="AS37:AY37"/>
    <mergeCell ref="BD37:BI37"/>
    <mergeCell ref="BJ37:BO37"/>
    <mergeCell ref="BP37:BU37"/>
    <mergeCell ref="BJ38:BO38"/>
    <mergeCell ref="BP38:BU38"/>
    <mergeCell ref="AL39:AR39"/>
    <mergeCell ref="AS39:AY39"/>
    <mergeCell ref="AZ39:BC39"/>
    <mergeCell ref="B38:C38"/>
    <mergeCell ref="D38:K38"/>
    <mergeCell ref="L38:AB38"/>
    <mergeCell ref="AC38:AE38"/>
    <mergeCell ref="AF38:AG38"/>
    <mergeCell ref="AH38:AK38"/>
    <mergeCell ref="AL38:AR38"/>
    <mergeCell ref="AS38:AY38"/>
    <mergeCell ref="BD38:BI38"/>
  </mergeCells>
  <phoneticPr fontId="4"/>
  <printOptions horizontalCentered="1" verticalCentered="1"/>
  <pageMargins left="0.70866141732283472" right="0.51181102362204722" top="0.55118110236220474" bottom="0.55118110236220474" header="0.31496062992125984" footer="0.31496062992125984"/>
  <pageSetup paperSize="9" scale="9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E94C-C331-433F-BA21-68F6479A7003}">
  <sheetPr>
    <pageSetUpPr fitToPage="1"/>
  </sheetPr>
  <dimension ref="A1:O49"/>
  <sheetViews>
    <sheetView tabSelected="1" view="pageBreakPreview" zoomScale="85" zoomScaleNormal="100" zoomScaleSheetLayoutView="85" workbookViewId="0">
      <selection activeCell="L33" sqref="L33:AB33"/>
    </sheetView>
  </sheetViews>
  <sheetFormatPr baseColWidth="10" defaultColWidth="8.83203125" defaultRowHeight="18"/>
  <cols>
    <col min="1" max="1" width="36.83203125" customWidth="1"/>
    <col min="2" max="2" width="23.6640625" customWidth="1"/>
    <col min="3" max="3" width="12.5" customWidth="1"/>
    <col min="4" max="4" width="8.1640625" style="31" customWidth="1"/>
    <col min="5" max="5" width="15.83203125" style="31" customWidth="1"/>
    <col min="6" max="6" width="23" style="31" customWidth="1"/>
    <col min="7" max="7" width="26.33203125" customWidth="1"/>
    <col min="8" max="8" width="4.6640625" customWidth="1"/>
    <col min="9" max="9" width="12.5" customWidth="1"/>
    <col min="10" max="10" width="12" style="31" customWidth="1"/>
    <col min="11" max="12" width="15.83203125" style="31" customWidth="1"/>
    <col min="13" max="13" width="9.83203125" bestFit="1" customWidth="1"/>
    <col min="15" max="15" width="9.83203125" bestFit="1" customWidth="1"/>
  </cols>
  <sheetData>
    <row r="1" spans="1:15" ht="26" thickTop="1" thickBot="1">
      <c r="A1" s="220" t="s">
        <v>37</v>
      </c>
      <c r="B1" s="220"/>
      <c r="C1" s="220"/>
      <c r="D1" s="220"/>
      <c r="E1" s="220"/>
      <c r="F1" s="220"/>
      <c r="G1" s="220"/>
      <c r="I1" s="209" t="s">
        <v>38</v>
      </c>
      <c r="J1" s="210"/>
      <c r="K1" s="209" t="s">
        <v>39</v>
      </c>
      <c r="L1" s="210"/>
    </row>
    <row r="2" spans="1:15" ht="23" customHeight="1" thickTop="1">
      <c r="A2" s="83" t="s">
        <v>40</v>
      </c>
      <c r="B2" s="83" t="s">
        <v>41</v>
      </c>
      <c r="C2" s="83" t="s">
        <v>42</v>
      </c>
      <c r="D2" s="84" t="s">
        <v>43</v>
      </c>
      <c r="E2" s="84" t="s">
        <v>44</v>
      </c>
      <c r="F2" s="84" t="s">
        <v>45</v>
      </c>
      <c r="G2" s="83" t="s">
        <v>46</v>
      </c>
      <c r="I2" s="16"/>
      <c r="J2" s="17"/>
      <c r="K2" s="17"/>
      <c r="L2" s="17" t="s">
        <v>45</v>
      </c>
    </row>
    <row r="3" spans="1:15" ht="23.5" customHeight="1">
      <c r="A3" s="75" t="s">
        <v>47</v>
      </c>
      <c r="B3" s="20"/>
      <c r="C3" s="20"/>
      <c r="D3" s="21"/>
      <c r="E3" s="21"/>
      <c r="F3" s="21"/>
      <c r="G3" s="20"/>
      <c r="I3" s="23"/>
      <c r="J3" s="24"/>
      <c r="K3" s="25"/>
      <c r="L3" s="25"/>
    </row>
    <row r="4" spans="1:15" ht="23.5" customHeight="1">
      <c r="A4" s="76"/>
      <c r="B4" s="27"/>
      <c r="C4" s="28"/>
      <c r="D4" s="29"/>
      <c r="E4" s="30"/>
      <c r="F4" s="21"/>
      <c r="G4" s="20"/>
      <c r="I4" s="28"/>
      <c r="J4" s="29"/>
      <c r="K4" s="25"/>
      <c r="L4" s="25"/>
    </row>
    <row r="5" spans="1:15" ht="23.5" customHeight="1">
      <c r="A5" s="76" t="s">
        <v>75</v>
      </c>
      <c r="B5" s="27" t="s">
        <v>70</v>
      </c>
      <c r="C5" s="30">
        <v>42</v>
      </c>
      <c r="D5" s="29" t="s">
        <v>49</v>
      </c>
      <c r="E5" s="82">
        <v>5500</v>
      </c>
      <c r="F5" s="21">
        <f>C5*E5</f>
        <v>231000</v>
      </c>
      <c r="G5" s="81" t="s">
        <v>73</v>
      </c>
      <c r="I5" s="28"/>
      <c r="J5" s="29"/>
      <c r="K5" s="25"/>
      <c r="L5" s="25"/>
      <c r="O5">
        <v>1251</v>
      </c>
    </row>
    <row r="6" spans="1:15" ht="23.5" customHeight="1">
      <c r="A6" s="76"/>
      <c r="B6" s="27"/>
      <c r="C6" s="30"/>
      <c r="D6" s="29"/>
      <c r="E6" s="30"/>
      <c r="F6" s="21"/>
      <c r="G6" s="81"/>
      <c r="I6" s="28"/>
      <c r="J6" s="29"/>
      <c r="K6" s="25"/>
      <c r="L6" s="25"/>
      <c r="O6">
        <v>1016</v>
      </c>
    </row>
    <row r="7" spans="1:15" ht="23.5" customHeight="1">
      <c r="A7" s="76"/>
      <c r="B7" s="27"/>
      <c r="C7" s="30"/>
      <c r="D7" s="29"/>
      <c r="E7" s="82"/>
      <c r="F7" s="21"/>
      <c r="G7" s="81"/>
      <c r="I7" s="28"/>
      <c r="J7" s="24"/>
      <c r="K7" s="25"/>
      <c r="L7" s="25"/>
      <c r="O7">
        <f>SUM(O5-O6)</f>
        <v>235</v>
      </c>
    </row>
    <row r="8" spans="1:15" ht="23.5" customHeight="1">
      <c r="A8" s="76"/>
      <c r="B8" s="27"/>
      <c r="C8" s="28"/>
      <c r="D8" s="29"/>
      <c r="E8" s="30"/>
      <c r="F8" s="21"/>
      <c r="G8" s="20"/>
      <c r="I8" s="28"/>
      <c r="J8" s="29"/>
      <c r="K8" s="25"/>
      <c r="L8" s="25"/>
      <c r="O8">
        <f>SUM(O7/O5*100)</f>
        <v>18.784972022382092</v>
      </c>
    </row>
    <row r="9" spans="1:15" ht="23.5" customHeight="1">
      <c r="A9" s="77"/>
      <c r="B9" s="27"/>
      <c r="C9" s="28"/>
      <c r="D9" s="29"/>
      <c r="E9" s="30"/>
      <c r="F9" s="21"/>
      <c r="G9" s="20"/>
      <c r="I9" s="28"/>
      <c r="J9" s="29"/>
      <c r="K9" s="25"/>
      <c r="L9" s="25"/>
    </row>
    <row r="10" spans="1:15" ht="23.5" customHeight="1">
      <c r="A10" s="78"/>
      <c r="B10" s="27"/>
      <c r="C10" s="28"/>
      <c r="D10" s="29"/>
      <c r="E10" s="30"/>
      <c r="F10" s="21"/>
      <c r="G10" s="20"/>
      <c r="I10" s="28">
        <f t="shared" ref="I10:I18" si="0">SUM(C10)</f>
        <v>0</v>
      </c>
      <c r="J10" s="29"/>
      <c r="K10" s="25">
        <f>SUM(E10*0.6)</f>
        <v>0</v>
      </c>
      <c r="L10" s="25">
        <f t="shared" ref="L10:L20" si="1">SUM(I10*K10)</f>
        <v>0</v>
      </c>
    </row>
    <row r="11" spans="1:15" ht="23.5" customHeight="1">
      <c r="A11" s="79"/>
      <c r="B11" s="27"/>
      <c r="C11" s="28"/>
      <c r="D11" s="29"/>
      <c r="E11" s="30"/>
      <c r="F11" s="21"/>
      <c r="G11" s="20"/>
      <c r="I11" s="28"/>
      <c r="J11" s="29"/>
      <c r="K11" s="25"/>
      <c r="L11" s="25"/>
      <c r="O11" s="32">
        <v>3500000</v>
      </c>
    </row>
    <row r="12" spans="1:15" ht="23.5" customHeight="1">
      <c r="A12" s="80"/>
      <c r="B12" s="33"/>
      <c r="C12" s="34"/>
      <c r="D12" s="35"/>
      <c r="E12" s="36"/>
      <c r="F12" s="21"/>
      <c r="G12" s="20"/>
      <c r="I12" s="28"/>
      <c r="J12" s="35"/>
      <c r="K12" s="25"/>
      <c r="L12" s="25"/>
      <c r="O12" s="32" t="e">
        <f>SUM(#REF!-O11)</f>
        <v>#REF!</v>
      </c>
    </row>
    <row r="13" spans="1:15" ht="23.5" customHeight="1">
      <c r="A13" s="76"/>
      <c r="B13" s="27"/>
      <c r="C13" s="28"/>
      <c r="D13" s="29"/>
      <c r="E13" s="30"/>
      <c r="F13" s="21"/>
      <c r="G13" s="20"/>
      <c r="I13" s="28"/>
      <c r="J13" s="24"/>
      <c r="K13" s="25"/>
      <c r="L13" s="25"/>
    </row>
    <row r="14" spans="1:15" ht="23.5" customHeight="1">
      <c r="A14" s="79"/>
      <c r="B14" s="27"/>
      <c r="C14" s="28"/>
      <c r="D14" s="29"/>
      <c r="E14" s="30"/>
      <c r="F14" s="21"/>
      <c r="G14" s="20"/>
      <c r="I14" s="28"/>
      <c r="J14" s="24"/>
      <c r="K14" s="25"/>
      <c r="L14" s="25"/>
    </row>
    <row r="15" spans="1:15" ht="23.5" customHeight="1">
      <c r="A15" s="79" t="s">
        <v>50</v>
      </c>
      <c r="B15" s="27"/>
      <c r="C15" s="28">
        <v>1</v>
      </c>
      <c r="D15" s="29" t="s">
        <v>5</v>
      </c>
      <c r="E15" s="30">
        <f>SUM(F5:F10)</f>
        <v>231000</v>
      </c>
      <c r="F15" s="21"/>
      <c r="G15" s="20"/>
      <c r="I15" s="28">
        <f t="shared" si="0"/>
        <v>1</v>
      </c>
      <c r="J15" s="24"/>
      <c r="K15" s="25">
        <f t="shared" ref="K15:K18" si="2">SUM(E15*0.6)</f>
        <v>138600</v>
      </c>
      <c r="L15" s="25"/>
    </row>
    <row r="16" spans="1:15" ht="23.5" customHeight="1">
      <c r="A16" s="79"/>
      <c r="B16" s="27"/>
      <c r="C16" s="28"/>
      <c r="D16" s="29"/>
      <c r="E16" s="30"/>
      <c r="F16" s="21"/>
      <c r="G16" s="20"/>
      <c r="I16" s="28"/>
      <c r="J16" s="37"/>
      <c r="K16" s="25"/>
      <c r="L16" s="25"/>
    </row>
    <row r="17" spans="1:14" ht="23.5" customHeight="1">
      <c r="A17" s="79" t="s">
        <v>51</v>
      </c>
      <c r="B17" s="38" t="s">
        <v>72</v>
      </c>
      <c r="C17" s="28">
        <v>1</v>
      </c>
      <c r="D17" s="29" t="s">
        <v>53</v>
      </c>
      <c r="E17" s="30">
        <v>75000</v>
      </c>
      <c r="F17" s="21">
        <f t="shared" ref="F17:F20" si="3">SUM(C17*E17)</f>
        <v>75000</v>
      </c>
      <c r="G17" s="20"/>
      <c r="I17" s="28">
        <f t="shared" si="0"/>
        <v>1</v>
      </c>
      <c r="J17" s="37"/>
      <c r="K17" s="25">
        <f t="shared" si="2"/>
        <v>45000</v>
      </c>
      <c r="L17" s="25">
        <f t="shared" si="1"/>
        <v>45000</v>
      </c>
    </row>
    <row r="18" spans="1:14" ht="23.5" customHeight="1">
      <c r="A18" s="79" t="s">
        <v>54</v>
      </c>
      <c r="B18" s="27" t="s">
        <v>55</v>
      </c>
      <c r="C18" s="28">
        <v>1</v>
      </c>
      <c r="D18" s="29" t="s">
        <v>5</v>
      </c>
      <c r="E18" s="30">
        <f>SUM(E15*10%)</f>
        <v>23100</v>
      </c>
      <c r="F18" s="21">
        <f t="shared" si="3"/>
        <v>23100</v>
      </c>
      <c r="G18" s="219" t="s">
        <v>67</v>
      </c>
      <c r="I18" s="28">
        <f t="shared" si="0"/>
        <v>1</v>
      </c>
      <c r="J18" s="37"/>
      <c r="K18" s="25">
        <f t="shared" si="2"/>
        <v>13860</v>
      </c>
      <c r="L18" s="25">
        <f t="shared" si="1"/>
        <v>13860</v>
      </c>
    </row>
    <row r="19" spans="1:14" ht="23.5" customHeight="1">
      <c r="A19" s="79" t="s">
        <v>74</v>
      </c>
      <c r="B19" s="27"/>
      <c r="C19" s="28">
        <v>1</v>
      </c>
      <c r="D19" s="24" t="s">
        <v>5</v>
      </c>
      <c r="E19" s="30">
        <v>-650</v>
      </c>
      <c r="F19" s="21">
        <f t="shared" si="3"/>
        <v>-650</v>
      </c>
      <c r="G19" s="219"/>
      <c r="I19" s="28"/>
      <c r="J19" s="37"/>
      <c r="K19" s="25"/>
      <c r="L19" s="25"/>
    </row>
    <row r="20" spans="1:14" ht="23.5" customHeight="1">
      <c r="A20" s="79" t="s">
        <v>56</v>
      </c>
      <c r="B20" s="20"/>
      <c r="C20" s="28">
        <v>1</v>
      </c>
      <c r="D20" s="24" t="s">
        <v>5</v>
      </c>
      <c r="E20" s="30">
        <f>SUM(E15*5%)</f>
        <v>11550</v>
      </c>
      <c r="F20" s="21">
        <f t="shared" si="3"/>
        <v>11550</v>
      </c>
      <c r="G20" s="219"/>
      <c r="I20" s="28"/>
      <c r="J20" s="24"/>
      <c r="K20" s="25"/>
      <c r="L20" s="25">
        <f t="shared" si="1"/>
        <v>0</v>
      </c>
      <c r="N20" t="s">
        <v>57</v>
      </c>
    </row>
    <row r="21" spans="1:14" ht="23.5" customHeight="1">
      <c r="A21" s="79" t="s">
        <v>58</v>
      </c>
      <c r="B21" s="20"/>
      <c r="C21" s="28"/>
      <c r="D21" s="24"/>
      <c r="E21" s="21"/>
      <c r="F21" s="21">
        <f>SUM(F4:F20)</f>
        <v>340000</v>
      </c>
      <c r="G21" s="20"/>
      <c r="I21" s="20"/>
      <c r="J21" s="25"/>
      <c r="K21" s="25"/>
      <c r="L21" s="46">
        <f>SUM(L3:L20)</f>
        <v>58860</v>
      </c>
      <c r="M21">
        <f>SUM(L21/8)</f>
        <v>7357.5</v>
      </c>
      <c r="N21">
        <f>SUM(M21/4)</f>
        <v>1839.375</v>
      </c>
    </row>
    <row r="22" spans="1:14" ht="23.5" customHeight="1">
      <c r="A22" s="47" t="s">
        <v>59</v>
      </c>
      <c r="B22" s="48"/>
      <c r="C22" s="48"/>
      <c r="D22" s="48"/>
      <c r="E22" s="48"/>
      <c r="F22" s="48"/>
      <c r="G22" s="49"/>
      <c r="J22" s="50"/>
      <c r="K22" s="50"/>
      <c r="L22" s="51"/>
    </row>
    <row r="23" spans="1:14" ht="23.5" customHeight="1">
      <c r="A23" s="47" t="s">
        <v>60</v>
      </c>
      <c r="B23" s="48"/>
      <c r="C23" s="48"/>
      <c r="D23" s="48"/>
      <c r="E23" s="48"/>
      <c r="F23" s="48"/>
      <c r="G23" s="49"/>
      <c r="J23" s="50"/>
      <c r="K23" s="50"/>
      <c r="L23" s="51"/>
    </row>
    <row r="24" spans="1:14" ht="23.5" customHeight="1" thickBot="1">
      <c r="A24" s="52" t="s">
        <v>61</v>
      </c>
      <c r="B24" s="53"/>
      <c r="C24" s="53"/>
      <c r="D24" s="53"/>
      <c r="E24" s="53"/>
      <c r="F24" s="53"/>
      <c r="G24" s="54"/>
      <c r="J24" s="50"/>
      <c r="K24" s="50"/>
      <c r="L24" s="51"/>
    </row>
    <row r="25" spans="1:14" ht="26" thickTop="1" thickBot="1">
      <c r="A25" s="211" t="s">
        <v>37</v>
      </c>
      <c r="B25" s="212"/>
      <c r="C25" s="212"/>
      <c r="D25" s="212"/>
      <c r="E25" s="212"/>
      <c r="F25" s="212"/>
      <c r="G25" s="213"/>
      <c r="I25" s="209" t="s">
        <v>38</v>
      </c>
      <c r="J25" s="210"/>
      <c r="K25" s="209" t="s">
        <v>39</v>
      </c>
      <c r="L25" s="210"/>
      <c r="M25" s="32">
        <v>3500000</v>
      </c>
    </row>
    <row r="26" spans="1:14" ht="23" customHeight="1" thickTop="1">
      <c r="A26" s="15" t="s">
        <v>40</v>
      </c>
      <c r="B26" s="16" t="s">
        <v>41</v>
      </c>
      <c r="C26" s="16" t="s">
        <v>42</v>
      </c>
      <c r="D26" s="17" t="s">
        <v>43</v>
      </c>
      <c r="E26" s="17" t="s">
        <v>44</v>
      </c>
      <c r="F26" s="17" t="s">
        <v>45</v>
      </c>
      <c r="G26" s="18" t="s">
        <v>46</v>
      </c>
      <c r="I26" s="16"/>
      <c r="J26" s="17"/>
      <c r="K26" s="17"/>
      <c r="L26" s="17" t="s">
        <v>45</v>
      </c>
      <c r="M26" s="32">
        <f>SUM(F46)</f>
        <v>1427000</v>
      </c>
    </row>
    <row r="27" spans="1:14" ht="23.5" customHeight="1">
      <c r="A27" s="19" t="s">
        <v>47</v>
      </c>
      <c r="B27" s="20"/>
      <c r="C27" s="20"/>
      <c r="D27" s="21"/>
      <c r="E27" s="21"/>
      <c r="F27" s="21"/>
      <c r="G27" s="22"/>
      <c r="I27" s="23"/>
      <c r="J27" s="24"/>
      <c r="K27" s="25"/>
      <c r="L27" s="25"/>
      <c r="M27" s="32">
        <f>SUM(M25-M26)</f>
        <v>2073000</v>
      </c>
    </row>
    <row r="28" spans="1:14" ht="23.5" customHeight="1">
      <c r="A28" s="26"/>
      <c r="B28" s="55"/>
      <c r="C28" s="28"/>
      <c r="D28" s="29"/>
      <c r="E28" s="30"/>
      <c r="F28" s="21"/>
      <c r="G28" s="214"/>
      <c r="I28" s="28"/>
      <c r="J28" s="29"/>
      <c r="K28" s="56"/>
      <c r="L28" s="25">
        <f>SUM(I28*K28)</f>
        <v>0</v>
      </c>
      <c r="M28">
        <f>SUM(M27/M25*100)</f>
        <v>59.228571428571428</v>
      </c>
    </row>
    <row r="29" spans="1:14" ht="23.5" customHeight="1">
      <c r="A29" s="57" t="s">
        <v>62</v>
      </c>
      <c r="B29" s="58"/>
      <c r="C29" s="59">
        <v>259</v>
      </c>
      <c r="D29" s="60" t="s">
        <v>49</v>
      </c>
      <c r="E29" s="61">
        <v>630</v>
      </c>
      <c r="F29" s="62">
        <f t="shared" ref="F29:F31" si="4">SUM(C29*E29)</f>
        <v>163170</v>
      </c>
      <c r="G29" s="215"/>
      <c r="I29" s="28"/>
      <c r="J29" s="29"/>
      <c r="K29" s="30"/>
      <c r="L29" s="25">
        <f t="shared" ref="L29:L40" si="5">SUM(I29*K29)</f>
        <v>0</v>
      </c>
    </row>
    <row r="30" spans="1:14" ht="23.5" customHeight="1">
      <c r="A30" s="57" t="s">
        <v>63</v>
      </c>
      <c r="B30" s="63"/>
      <c r="C30" s="59">
        <v>213</v>
      </c>
      <c r="D30" s="60" t="s">
        <v>49</v>
      </c>
      <c r="E30" s="61">
        <v>630</v>
      </c>
      <c r="F30" s="62">
        <f t="shared" si="4"/>
        <v>134190</v>
      </c>
      <c r="G30" s="215"/>
      <c r="I30" s="28"/>
      <c r="J30" s="29"/>
      <c r="K30" s="56"/>
      <c r="L30" s="25">
        <f t="shared" si="5"/>
        <v>0</v>
      </c>
    </row>
    <row r="31" spans="1:14" ht="23.5" customHeight="1">
      <c r="A31" s="57" t="s">
        <v>64</v>
      </c>
      <c r="B31" s="216"/>
      <c r="C31" s="59">
        <v>91</v>
      </c>
      <c r="D31" s="60" t="s">
        <v>49</v>
      </c>
      <c r="E31" s="61">
        <v>630</v>
      </c>
      <c r="F31" s="62">
        <f t="shared" si="4"/>
        <v>57330</v>
      </c>
      <c r="G31" s="215"/>
      <c r="I31" s="28"/>
      <c r="J31" s="24"/>
      <c r="K31" s="56"/>
      <c r="L31" s="25">
        <f t="shared" si="5"/>
        <v>0</v>
      </c>
    </row>
    <row r="32" spans="1:14" ht="23.5" customHeight="1">
      <c r="A32" s="57" t="s">
        <v>65</v>
      </c>
      <c r="B32" s="217"/>
      <c r="C32" s="59">
        <v>992</v>
      </c>
      <c r="D32" s="60" t="s">
        <v>49</v>
      </c>
      <c r="E32" s="61">
        <v>630</v>
      </c>
      <c r="F32" s="62">
        <f t="shared" ref="F32:F34" si="6">SUM(C32*E32)</f>
        <v>624960</v>
      </c>
      <c r="G32" s="218"/>
      <c r="I32" s="28"/>
      <c r="J32" s="29"/>
      <c r="K32" s="56"/>
      <c r="L32" s="25">
        <f t="shared" si="5"/>
        <v>0</v>
      </c>
    </row>
    <row r="33" spans="1:12" ht="23.5" customHeight="1">
      <c r="A33" s="64"/>
      <c r="B33" s="65"/>
      <c r="C33" s="59"/>
      <c r="D33" s="60"/>
      <c r="E33" s="61"/>
      <c r="F33" s="62"/>
      <c r="G33" s="22"/>
      <c r="I33" s="28"/>
      <c r="J33" s="29"/>
      <c r="K33" s="30"/>
      <c r="L33" s="25">
        <f t="shared" si="5"/>
        <v>0</v>
      </c>
    </row>
    <row r="34" spans="1:12" ht="23.5" customHeight="1">
      <c r="A34" s="66" t="s">
        <v>66</v>
      </c>
      <c r="B34" s="65" t="s">
        <v>48</v>
      </c>
      <c r="C34" s="59">
        <f>SUM(C28:C33)</f>
        <v>1555</v>
      </c>
      <c r="D34" s="60" t="s">
        <v>49</v>
      </c>
      <c r="E34" s="61">
        <v>630</v>
      </c>
      <c r="F34" s="62">
        <f t="shared" si="6"/>
        <v>979650</v>
      </c>
      <c r="G34" s="22"/>
      <c r="I34" s="28"/>
      <c r="J34" s="29"/>
      <c r="K34" s="30"/>
      <c r="L34" s="25">
        <f t="shared" si="5"/>
        <v>0</v>
      </c>
    </row>
    <row r="35" spans="1:12" ht="23.5" customHeight="1">
      <c r="A35" s="67"/>
      <c r="B35" s="65"/>
      <c r="C35" s="59"/>
      <c r="D35" s="60"/>
      <c r="E35" s="61"/>
      <c r="F35" s="62"/>
      <c r="G35" s="22"/>
      <c r="I35" s="28"/>
      <c r="J35" s="29"/>
      <c r="K35" s="30"/>
      <c r="L35" s="25">
        <f t="shared" si="5"/>
        <v>0</v>
      </c>
    </row>
    <row r="36" spans="1:12" ht="23.5" customHeight="1">
      <c r="A36" s="68"/>
      <c r="B36" s="65"/>
      <c r="C36" s="59"/>
      <c r="D36" s="60"/>
      <c r="E36" s="61"/>
      <c r="F36" s="62"/>
      <c r="G36" s="22"/>
      <c r="I36" s="28"/>
      <c r="J36" s="29"/>
      <c r="K36" s="30"/>
      <c r="L36" s="25">
        <f t="shared" si="5"/>
        <v>0</v>
      </c>
    </row>
    <row r="37" spans="1:12" ht="23.5" customHeight="1">
      <c r="A37" s="69"/>
      <c r="B37" s="70"/>
      <c r="C37" s="59"/>
      <c r="D37" s="60"/>
      <c r="E37" s="71"/>
      <c r="F37" s="62"/>
      <c r="G37" s="22"/>
      <c r="I37" s="34"/>
      <c r="J37" s="35"/>
      <c r="K37" s="36"/>
      <c r="L37" s="25">
        <f t="shared" si="5"/>
        <v>0</v>
      </c>
    </row>
    <row r="38" spans="1:12" ht="23.5" customHeight="1">
      <c r="A38" s="68"/>
      <c r="B38" s="65"/>
      <c r="C38" s="59"/>
      <c r="D38" s="60"/>
      <c r="E38" s="61"/>
      <c r="F38" s="62"/>
      <c r="G38" s="22"/>
      <c r="I38" s="28"/>
      <c r="J38" s="29"/>
      <c r="K38" s="30"/>
      <c r="L38" s="25">
        <f t="shared" si="5"/>
        <v>0</v>
      </c>
    </row>
    <row r="39" spans="1:12" ht="23.5" customHeight="1">
      <c r="A39" s="68" t="s">
        <v>50</v>
      </c>
      <c r="B39" s="65"/>
      <c r="C39" s="59">
        <v>1</v>
      </c>
      <c r="D39" s="60" t="s">
        <v>5</v>
      </c>
      <c r="E39" s="61">
        <f>SUM(F34)</f>
        <v>979650</v>
      </c>
      <c r="F39" s="62"/>
      <c r="G39" s="22"/>
      <c r="I39" s="28"/>
      <c r="J39" s="24"/>
      <c r="K39" s="30"/>
      <c r="L39" s="25">
        <f t="shared" si="5"/>
        <v>0</v>
      </c>
    </row>
    <row r="40" spans="1:12" ht="23.5" customHeight="1">
      <c r="A40" s="68"/>
      <c r="B40" s="65"/>
      <c r="C40" s="59"/>
      <c r="D40" s="60"/>
      <c r="E40" s="61"/>
      <c r="F40" s="62"/>
      <c r="G40" s="22"/>
      <c r="I40" s="28"/>
      <c r="J40" s="24"/>
      <c r="K40" s="25"/>
      <c r="L40" s="25">
        <f t="shared" si="5"/>
        <v>0</v>
      </c>
    </row>
    <row r="41" spans="1:12" ht="23.5" customHeight="1">
      <c r="A41" s="68" t="s">
        <v>51</v>
      </c>
      <c r="B41" s="72" t="s">
        <v>52</v>
      </c>
      <c r="C41" s="59">
        <v>2</v>
      </c>
      <c r="D41" s="60" t="s">
        <v>53</v>
      </c>
      <c r="E41" s="61">
        <v>100000</v>
      </c>
      <c r="F41" s="62">
        <f>SUM(C41*E41)</f>
        <v>200000</v>
      </c>
      <c r="G41" s="22"/>
      <c r="I41" s="28"/>
      <c r="J41" s="24"/>
      <c r="K41" s="25"/>
      <c r="L41" s="25"/>
    </row>
    <row r="42" spans="1:12" ht="23.5" customHeight="1">
      <c r="A42" s="68" t="s">
        <v>54</v>
      </c>
      <c r="B42" s="65" t="s">
        <v>55</v>
      </c>
      <c r="C42" s="59">
        <v>1</v>
      </c>
      <c r="D42" s="60" t="s">
        <v>5</v>
      </c>
      <c r="E42" s="61">
        <v>160000</v>
      </c>
      <c r="F42" s="62">
        <f t="shared" ref="F42:F43" si="7">SUM(C42*E42)</f>
        <v>160000</v>
      </c>
      <c r="G42" s="39"/>
      <c r="I42" s="28"/>
      <c r="J42" s="37"/>
      <c r="K42" s="25"/>
      <c r="L42" s="25">
        <f t="shared" ref="L42:L45" si="8">SUM(I42*K42)</f>
        <v>0</v>
      </c>
    </row>
    <row r="43" spans="1:12" ht="23.5" customHeight="1">
      <c r="A43" s="68" t="s">
        <v>56</v>
      </c>
      <c r="B43" s="73"/>
      <c r="C43" s="59">
        <v>1</v>
      </c>
      <c r="D43" s="74" t="s">
        <v>5</v>
      </c>
      <c r="E43" s="61">
        <v>88040</v>
      </c>
      <c r="F43" s="62">
        <f t="shared" si="7"/>
        <v>88040</v>
      </c>
      <c r="G43" s="39"/>
      <c r="I43" s="28"/>
      <c r="J43" s="37"/>
      <c r="K43" s="25"/>
      <c r="L43" s="25">
        <f t="shared" si="8"/>
        <v>0</v>
      </c>
    </row>
    <row r="44" spans="1:12" ht="23.5" customHeight="1">
      <c r="A44" s="68"/>
      <c r="B44" s="65"/>
      <c r="C44" s="59"/>
      <c r="D44" s="60"/>
      <c r="E44" s="61"/>
      <c r="F44" s="62">
        <v>-690</v>
      </c>
      <c r="G44" s="39"/>
      <c r="I44" s="28"/>
      <c r="J44" s="37"/>
      <c r="K44" s="25"/>
      <c r="L44" s="25">
        <f t="shared" si="8"/>
        <v>0</v>
      </c>
    </row>
    <row r="45" spans="1:12" ht="23.5" customHeight="1">
      <c r="A45" s="68"/>
      <c r="B45" s="73"/>
      <c r="C45" s="59"/>
      <c r="D45" s="74"/>
      <c r="E45" s="61"/>
      <c r="F45" s="62"/>
      <c r="G45" s="39"/>
      <c r="I45" s="28"/>
      <c r="J45" s="24"/>
      <c r="K45" s="25"/>
      <c r="L45" s="25">
        <f t="shared" si="8"/>
        <v>0</v>
      </c>
    </row>
    <row r="46" spans="1:12" ht="23.5" customHeight="1" thickBot="1">
      <c r="A46" s="40" t="s">
        <v>58</v>
      </c>
      <c r="B46" s="41"/>
      <c r="C46" s="42"/>
      <c r="D46" s="43"/>
      <c r="E46" s="44"/>
      <c r="F46" s="44">
        <f>SUM(E39+F41+F42+F43)+F44</f>
        <v>1427000</v>
      </c>
      <c r="G46" s="45"/>
      <c r="I46" s="20"/>
      <c r="J46" s="25"/>
      <c r="K46" s="25"/>
      <c r="L46" s="46">
        <f>SUM(L27:L45)</f>
        <v>0</v>
      </c>
    </row>
    <row r="47" spans="1:12" ht="23.5" customHeight="1">
      <c r="A47" s="47" t="s">
        <v>59</v>
      </c>
      <c r="B47" s="48"/>
      <c r="C47" s="48"/>
      <c r="D47" s="48"/>
      <c r="E47" s="48"/>
      <c r="F47" s="48"/>
      <c r="G47" s="49"/>
      <c r="J47" s="50"/>
      <c r="K47" s="50"/>
      <c r="L47" s="51"/>
    </row>
    <row r="48" spans="1:12" ht="23.5" customHeight="1">
      <c r="A48" s="47" t="s">
        <v>60</v>
      </c>
      <c r="B48" s="48"/>
      <c r="C48" s="48"/>
      <c r="D48" s="48"/>
      <c r="E48" s="48"/>
      <c r="F48" s="48"/>
      <c r="G48" s="49"/>
      <c r="J48" s="50"/>
      <c r="K48" s="50"/>
      <c r="L48" s="51"/>
    </row>
    <row r="49" spans="1:12" ht="23.5" customHeight="1">
      <c r="A49" s="52" t="s">
        <v>61</v>
      </c>
      <c r="B49" s="53"/>
      <c r="C49" s="53"/>
      <c r="D49" s="53"/>
      <c r="E49" s="53"/>
      <c r="F49" s="53"/>
      <c r="G49" s="54"/>
      <c r="J49" s="50"/>
      <c r="K49" s="50"/>
      <c r="L49" s="51"/>
    </row>
  </sheetData>
  <mergeCells count="10">
    <mergeCell ref="G28:G30"/>
    <mergeCell ref="B31:B32"/>
    <mergeCell ref="G31:G32"/>
    <mergeCell ref="G18:G20"/>
    <mergeCell ref="A1:G1"/>
    <mergeCell ref="I1:J1"/>
    <mergeCell ref="K1:L1"/>
    <mergeCell ref="A25:G25"/>
    <mergeCell ref="I25:J25"/>
    <mergeCell ref="K25:L25"/>
  </mergeCells>
  <phoneticPr fontId="4"/>
  <printOptions horizontalCentered="1" verticalCentered="1"/>
  <pageMargins left="0.70866141732283472" right="0.51181102362204722" top="0.55118110236220474" bottom="0.55118110236220474" header="0.31496062992125984" footer="0.31496062992125984"/>
  <pageSetup paperSize="9" scale="85" orientation="landscape" r:id="rId1"/>
  <rowBreaks count="1" manualBreakCount="1">
    <brk id="24" max="6"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表紙</vt:lpstr>
      <vt:lpstr>内訳明細書</vt:lpstr>
      <vt:lpstr>内訳明細書!Print_Area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 上原</dc:creator>
  <cp:lastModifiedBy>拓 上原</cp:lastModifiedBy>
  <cp:lastPrinted>2026-01-09T07:24:43Z</cp:lastPrinted>
  <dcterms:created xsi:type="dcterms:W3CDTF">2024-02-15T06:21:43Z</dcterms:created>
  <dcterms:modified xsi:type="dcterms:W3CDTF">2026-01-12T19:15:42Z</dcterms:modified>
</cp:coreProperties>
</file>